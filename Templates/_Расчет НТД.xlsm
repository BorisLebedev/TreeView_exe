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4851750D-AE6D-480E-A581-CF157941B3AB}" xr6:coauthVersionLast="47" xr6:coauthVersionMax="47" xr10:uidLastSave="{00000000-0000-0000-0000-000000000000}"/>
  <bookViews>
    <workbookView xWindow="-120" yWindow="-120" windowWidth="29040" windowHeight="15840" tabRatio="926" xr2:uid="{00000000-000D-0000-FFFF-FFFF00000000}"/>
  </bookViews>
  <sheets>
    <sheet name="Типы" sheetId="21" r:id="rId1"/>
    <sheet name="НТД" sheetId="18" r:id="rId2"/>
    <sheet name="Расчет" sheetId="15" r:id="rId3"/>
    <sheet name="ПКИ (не используется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_xlnm._FilterDatabase" localSheetId="1" hidden="1">НТД!$A$12:$L$12</definedName>
    <definedName name="_xlnm._FilterDatabase" localSheetId="2" hidden="1">Расчет!$A$3:$U$3</definedName>
    <definedName name="_xlnm._FilterDatabase" localSheetId="0" hidden="1">Типы!$A$2:$I$16</definedName>
    <definedName name="_xlnm.Print_Area" localSheetId="1">НТД!$A$1:$L$34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2" i="14" l="1"/>
  <c r="D81" i="14"/>
  <c r="D57" i="14"/>
  <c r="D54" i="14"/>
  <c r="D76" i="14"/>
  <c r="D69" i="14" l="1"/>
  <c r="D68" i="14"/>
  <c r="D66" i="14"/>
  <c r="D63" i="14"/>
  <c r="D62" i="14"/>
  <c r="D61" i="14"/>
  <c r="D49" i="14"/>
  <c r="D51" i="14"/>
  <c r="D3" i="14"/>
  <c r="D4" i="14"/>
  <c r="D5" i="14"/>
  <c r="D2" i="14"/>
</calcChain>
</file>

<file path=xl/sharedStrings.xml><?xml version="1.0" encoding="utf-8"?>
<sst xmlns="http://schemas.openxmlformats.org/spreadsheetml/2006/main" count="1519" uniqueCount="319">
  <si>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</si>
  <si>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</si>
  <si>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</si>
  <si>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</si>
  <si>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</si>
  <si>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</si>
  <si>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</si>
  <si>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</si>
  <si>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</si>
  <si>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</si>
  <si>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</si>
  <si>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</si>
  <si>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</si>
  <si>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</si>
  <si>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</si>
  <si>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</si>
  <si>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</si>
  <si>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</si>
  <si>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</si>
  <si>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</si>
  <si>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</si>
  <si>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</si>
  <si>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</si>
  <si>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</si>
  <si>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</si>
  <si>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</si>
  <si>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</si>
  <si>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</si>
  <si>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</si>
  <si>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</si>
  <si>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</si>
  <si>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</si>
  <si>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</si>
  <si>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</si>
  <si>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</si>
  <si>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</si>
  <si>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</si>
  <si>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1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</si>
  <si>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</si>
  <si>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</si>
  <si>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</si>
  <si>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</si>
  <si>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</si>
  <si>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</si>
  <si>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</si>
  <si>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</si>
  <si>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</si>
  <si>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</si>
  <si>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</si>
  <si>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</si>
  <si>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</si>
  <si>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</si>
  <si>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</si>
  <si>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</si>
  <si>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</si>
  <si>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</si>
  <si>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</si>
  <si>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</si>
  <si>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* Ремонт не возможен</t>
  </si>
  <si>
    <t>** Ремонт возможен только на предприятии Исполнителя</t>
  </si>
  <si>
    <t>**** С учетом трудоемкости на изготовление узлов, блоков, ТЭЗов, настройку (регулировку, отладку), входной контроль</t>
  </si>
  <si>
    <t>III. Испытания изделия</t>
  </si>
  <si>
    <t>Ед. изм.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</si>
  <si>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</si>
  <si>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</si>
  <si>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</si>
  <si>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</si>
  <si>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 xml:space="preserve">Амортизатор АПН-3 </t>
  </si>
  <si>
    <t xml:space="preserve">Комплект штырей заземления </t>
  </si>
  <si>
    <t xml:space="preserve">Тумблер </t>
  </si>
  <si>
    <t xml:space="preserve">Мультиметр </t>
  </si>
  <si>
    <t xml:space="preserve">Набор для паяльных работ </t>
  </si>
  <si>
    <t xml:space="preserve">Пинцет </t>
  </si>
  <si>
    <t xml:space="preserve">Ящик </t>
  </si>
  <si>
    <t xml:space="preserve">Кувалда </t>
  </si>
  <si>
    <t xml:space="preserve">Катушка </t>
  </si>
  <si>
    <t xml:space="preserve">Dr.Web для Linux версии 10.10 </t>
  </si>
  <si>
    <t xml:space="preserve">ОС «Astra Linux Special Edition» 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</si>
  <si>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</si>
  <si>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</si>
  <si>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</si>
  <si>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</si>
  <si>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</si>
  <si>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</si>
  <si>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</si>
  <si>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</si>
  <si>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</si>
  <si>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Набор отверток</t>
  </si>
  <si>
    <t>Ноутбук</t>
  </si>
  <si>
    <t>Провод</t>
  </si>
  <si>
    <t>Болт</t>
  </si>
  <si>
    <t>Стол</t>
  </si>
  <si>
    <t>Компьютер</t>
  </si>
  <si>
    <t>Автомат защиты</t>
  </si>
  <si>
    <t>Заклепка</t>
  </si>
  <si>
    <t xml:space="preserve">Диван </t>
  </si>
  <si>
    <t>Телефон</t>
  </si>
  <si>
    <t xml:space="preserve">Светильник настольный </t>
  </si>
  <si>
    <t>Втулка</t>
  </si>
  <si>
    <t xml:space="preserve">Смартфон </t>
  </si>
  <si>
    <t>Этикетка</t>
  </si>
  <si>
    <t>Антенна</t>
  </si>
  <si>
    <t xml:space="preserve">Фотоаппарат </t>
  </si>
  <si>
    <t>Вольтметр</t>
  </si>
  <si>
    <t>Соединиель</t>
  </si>
  <si>
    <t>Сумка</t>
  </si>
  <si>
    <t>Видеокамера</t>
  </si>
  <si>
    <t xml:space="preserve">Блок питания </t>
  </si>
  <si>
    <t>Вилка</t>
  </si>
  <si>
    <t>Радиостанция</t>
  </si>
  <si>
    <t>Инвертор</t>
  </si>
  <si>
    <t>Шайба</t>
  </si>
  <si>
    <t>Блок громкоговорителя</t>
  </si>
  <si>
    <t>Гарнитура</t>
  </si>
  <si>
    <t>Стяжка</t>
  </si>
  <si>
    <t>Аппарат телефонный</t>
  </si>
  <si>
    <t xml:space="preserve">Объектив </t>
  </si>
  <si>
    <t>Диод</t>
  </si>
  <si>
    <t>Фонарь</t>
  </si>
  <si>
    <t xml:space="preserve">Розетка </t>
  </si>
  <si>
    <t xml:space="preserve">Этикетка </t>
  </si>
  <si>
    <t xml:space="preserve">Наконечник </t>
  </si>
  <si>
    <t xml:space="preserve">Контакт </t>
  </si>
  <si>
    <t>Оплётка</t>
  </si>
  <si>
    <t>Труба</t>
  </si>
  <si>
    <t xml:space="preserve">Шнур </t>
  </si>
  <si>
    <t xml:space="preserve">Карабин </t>
  </si>
  <si>
    <t>Ремень</t>
  </si>
  <si>
    <t xml:space="preserve">Нож </t>
  </si>
  <si>
    <t xml:space="preserve">Колодка </t>
  </si>
  <si>
    <t xml:space="preserve">Лента 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</si>
  <si>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</si>
  <si>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</si>
  <si>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</si>
  <si>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</si>
  <si>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</si>
  <si>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</si>
  <si>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</si>
  <si>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</si>
  <si>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 xml:space="preserve">Ручка </t>
  </si>
  <si>
    <t>Шплинт</t>
  </si>
  <si>
    <t xml:space="preserve">Механизм поворота </t>
  </si>
  <si>
    <t>Шурупы</t>
  </si>
  <si>
    <t xml:space="preserve">Вилка </t>
  </si>
  <si>
    <t>Блок</t>
  </si>
  <si>
    <t xml:space="preserve">Аппарат передачи </t>
  </si>
  <si>
    <t xml:space="preserve">Пульт управления </t>
  </si>
  <si>
    <t>Плата</t>
  </si>
  <si>
    <t xml:space="preserve">Проверка составных частей платы </t>
  </si>
  <si>
    <t>Плата печатная</t>
  </si>
  <si>
    <t>Проверка подложки</t>
  </si>
  <si>
    <t>Оттяжка</t>
  </si>
  <si>
    <t>Клемма</t>
  </si>
  <si>
    <t xml:space="preserve">Табличка </t>
  </si>
  <si>
    <t xml:space="preserve">Стойка </t>
  </si>
  <si>
    <t xml:space="preserve">Кронштейн </t>
  </si>
  <si>
    <t xml:space="preserve">Фланец </t>
  </si>
  <si>
    <t xml:space="preserve">Зажим </t>
  </si>
  <si>
    <t xml:space="preserve">Плита </t>
  </si>
  <si>
    <t xml:space="preserve">Панель </t>
  </si>
  <si>
    <t xml:space="preserve">Основание </t>
  </si>
  <si>
    <t xml:space="preserve">Кожух </t>
  </si>
  <si>
    <t xml:space="preserve">Крышка </t>
  </si>
  <si>
    <t xml:space="preserve">Прижим </t>
  </si>
  <si>
    <t xml:space="preserve">Обтекатель </t>
  </si>
  <si>
    <t xml:space="preserve">Диск </t>
  </si>
  <si>
    <t xml:space="preserve">Прокладка </t>
  </si>
  <si>
    <t xml:space="preserve">Пробка </t>
  </si>
  <si>
    <t xml:space="preserve">Радиатор </t>
  </si>
  <si>
    <t xml:space="preserve">Профиль </t>
  </si>
  <si>
    <t xml:space="preserve">Площадка </t>
  </si>
  <si>
    <t xml:space="preserve">Уголок </t>
  </si>
  <si>
    <t xml:space="preserve">Опора </t>
  </si>
  <si>
    <t xml:space="preserve">Плата индикации </t>
  </si>
  <si>
    <t xml:space="preserve">Корпус </t>
  </si>
  <si>
    <t xml:space="preserve">Наклейка </t>
  </si>
  <si>
    <t xml:space="preserve">Шильд </t>
  </si>
  <si>
    <t xml:space="preserve">Цапфа </t>
  </si>
  <si>
    <t xml:space="preserve">Ось </t>
  </si>
  <si>
    <t xml:space="preserve">Кол </t>
  </si>
  <si>
    <t xml:space="preserve">Кольцо </t>
  </si>
  <si>
    <t xml:space="preserve">Пруток </t>
  </si>
  <si>
    <t xml:space="preserve">Проставка </t>
  </si>
  <si>
    <t xml:space="preserve">Лист </t>
  </si>
  <si>
    <t xml:space="preserve">Ребро </t>
  </si>
  <si>
    <t xml:space="preserve">Угольник </t>
  </si>
  <si>
    <t xml:space="preserve">Доска </t>
  </si>
  <si>
    <t xml:space="preserve">Зацеп </t>
  </si>
  <si>
    <t xml:space="preserve">Полка </t>
  </si>
  <si>
    <t xml:space="preserve">Упор </t>
  </si>
  <si>
    <t xml:space="preserve">Стопор </t>
  </si>
  <si>
    <t xml:space="preserve">Экран </t>
  </si>
  <si>
    <t xml:space="preserve">Косынка </t>
  </si>
  <si>
    <t xml:space="preserve">Шина </t>
  </si>
  <si>
    <t xml:space="preserve">Плата питания </t>
  </si>
  <si>
    <t xml:space="preserve">Шильдик </t>
  </si>
  <si>
    <t xml:space="preserve">Бирка </t>
  </si>
  <si>
    <t xml:space="preserve">Сухарь </t>
  </si>
  <si>
    <t xml:space="preserve">Трубка </t>
  </si>
  <si>
    <t xml:space="preserve">Скоба </t>
  </si>
  <si>
    <t xml:space="preserve">Перемычка </t>
  </si>
  <si>
    <t xml:space="preserve">Планка </t>
  </si>
  <si>
    <t xml:space="preserve">Ролик </t>
  </si>
  <si>
    <t xml:space="preserve">Боковина </t>
  </si>
  <si>
    <t xml:space="preserve">Заглушка </t>
  </si>
  <si>
    <t xml:space="preserve">Панель коммутационная </t>
  </si>
  <si>
    <t xml:space="preserve">Клин </t>
  </si>
  <si>
    <t>Инжектор питания</t>
  </si>
  <si>
    <t>Корпус</t>
  </si>
  <si>
    <t>Соединитель</t>
  </si>
  <si>
    <t xml:space="preserve">Плата </t>
  </si>
  <si>
    <t>Средство</t>
  </si>
  <si>
    <t xml:space="preserve">Крепление </t>
  </si>
  <si>
    <t>Канистра</t>
  </si>
  <si>
    <t xml:space="preserve">Генератор </t>
  </si>
  <si>
    <t xml:space="preserve">Колесо </t>
  </si>
  <si>
    <t xml:space="preserve">Шуруп </t>
  </si>
  <si>
    <t xml:space="preserve">Петля </t>
  </si>
  <si>
    <t xml:space="preserve">Канат </t>
  </si>
  <si>
    <t>Зажим</t>
  </si>
  <si>
    <t xml:space="preserve">Крюк </t>
  </si>
  <si>
    <t xml:space="preserve">Оси </t>
  </si>
  <si>
    <t xml:space="preserve">Подшипник </t>
  </si>
  <si>
    <t xml:space="preserve">Шкант </t>
  </si>
  <si>
    <t xml:space="preserve">Направляющая </t>
  </si>
  <si>
    <t>Трубка</t>
  </si>
  <si>
    <t>Кант</t>
  </si>
  <si>
    <t xml:space="preserve">Кромка </t>
  </si>
  <si>
    <t xml:space="preserve">Переключатель </t>
  </si>
  <si>
    <t>Разъём</t>
  </si>
  <si>
    <t>Световод</t>
  </si>
  <si>
    <t xml:space="preserve">Скотч </t>
  </si>
  <si>
    <t>Кронштейн</t>
  </si>
  <si>
    <t xml:space="preserve">СПО </t>
  </si>
  <si>
    <t xml:space="preserve">Astra </t>
  </si>
  <si>
    <t xml:space="preserve">Dr.Web </t>
  </si>
  <si>
    <t xml:space="preserve">Соединитель </t>
  </si>
  <si>
    <t xml:space="preserve">Соединитель  </t>
  </si>
  <si>
    <t xml:space="preserve">УМ МШУ </t>
  </si>
  <si>
    <t xml:space="preserve">Сетевой разъём </t>
  </si>
  <si>
    <t>Шуруп</t>
  </si>
  <si>
    <t xml:space="preserve">Аккумуляторная батарея </t>
  </si>
  <si>
    <t>Пьезоизлучатель</t>
  </si>
  <si>
    <t xml:space="preserve">ЖК-экран </t>
  </si>
  <si>
    <t xml:space="preserve">Шлейф </t>
  </si>
  <si>
    <t xml:space="preserve">Решетка </t>
  </si>
  <si>
    <t xml:space="preserve">Вентилятор </t>
  </si>
  <si>
    <t>Стойка</t>
  </si>
  <si>
    <t>Скоба</t>
  </si>
  <si>
    <t>Подложка</t>
  </si>
  <si>
    <t>Выключатель</t>
  </si>
  <si>
    <t xml:space="preserve">Фильтр </t>
  </si>
  <si>
    <t>Пружина</t>
  </si>
  <si>
    <t xml:space="preserve">Оплетка </t>
  </si>
  <si>
    <t xml:space="preserve">Автомобиль </t>
  </si>
  <si>
    <t>Опорно-поворотное устройство</t>
  </si>
  <si>
    <t xml:space="preserve">Мачта </t>
  </si>
  <si>
    <t>Вентилято</t>
  </si>
  <si>
    <t>Решетка</t>
  </si>
  <si>
    <t xml:space="preserve">Резистор </t>
  </si>
  <si>
    <t>Выключатель автоматический</t>
  </si>
  <si>
    <t>Резистор</t>
  </si>
  <si>
    <t>Заглушка</t>
  </si>
  <si>
    <t>Комплект ключей</t>
  </si>
  <si>
    <t>Плоскогубцы</t>
  </si>
  <si>
    <t>Кисть</t>
  </si>
  <si>
    <t xml:space="preserve">Кисть </t>
  </si>
  <si>
    <t xml:space="preserve">Бокорезы </t>
  </si>
  <si>
    <t xml:space="preserve">Трансформатор разделительный </t>
  </si>
  <si>
    <t>Изделие</t>
  </si>
  <si>
    <t>???</t>
  </si>
  <si>
    <t>переносная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</si>
  <si>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</si>
  <si>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</si>
  <si>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</si>
  <si>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</si>
  <si>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</si>
  <si>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</si>
  <si>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</si>
  <si>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</si>
  <si>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*** Указана предельно допустимая трудоемкость выполнения работ</t>
  </si>
  <si>
    <t xml:space="preserve">IV.Операции технического обслуживания на изделии: </t>
  </si>
  <si>
    <t>V. Расходные материалы для выполнения технического обслуживания изделия в объеме ТО:</t>
  </si>
  <si>
    <t>Труд. н/ч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</si>
  <si>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</si>
  <si>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</si>
  <si>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</si>
  <si>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</si>
  <si>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</si>
  <si>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</si>
  <si>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</si>
  <si>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</si>
  <si>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</si>
  <si>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</si>
  <si>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</si>
  <si>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</si>
  <si>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</si>
  <si>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</si>
  <si>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</si>
  <si>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</si>
  <si>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</si>
  <si>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</si>
  <si>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Время ремонтновосстановительных работ формируется на основании 
данных по замене (разборке и сборке) ремонтируемой позиции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</si>
  <si>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</si>
  <si>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</si>
  <si>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</si>
  <si>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</si>
  <si>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_Таблица трудоемкостей.xlsm</t>
  </si>
  <si>
    <t>P:\20016000 Технологический отдел\Исходящие сл. зап. для ПЭО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</si>
  <si>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</si>
  <si>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</si>
  <si>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</si>
  <si>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</si>
  <si>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</si>
  <si>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Допускается замена ПКИ на аналоги с характеристиками, не ухудшающие характеристики изделия в целом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</si>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</sst>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Times New Roman"/>
      <family val="1"/>
      <charset val="204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9">
    <xf numFmtId="0" fontId="0" fillId="0" borderId="0"/>
    <xf numFmtId="0" fontId="10" fillId="0" borderId="0"/>
    <xf numFmtId="0" fontId="6" fillId="0" borderId="0"/>
    <xf numFmtId="0" fontId="12" fillId="0" borderId="0">
      <alignment vertical="top"/>
    </xf>
    <xf numFmtId="0" fontId="17" fillId="0" borderId="0"/>
    <xf numFmtId="0" fontId="18" fillId="0" borderId="0"/>
    <xf numFmtId="0" fontId="17" fillId="0" borderId="0"/>
    <xf numFmtId="0" fontId="15" fillId="0" borderId="0"/>
    <xf numFmtId="0" fontId="14" fillId="0" borderId="0" applyFont="0" applyFill="0" applyBorder="0" applyAlignment="0" applyProtection="0"/>
    <xf numFmtId="0" fontId="17" fillId="0" borderId="0"/>
    <xf numFmtId="2" fontId="19" fillId="3" borderId="2" applyProtection="0"/>
    <xf numFmtId="2" fontId="19" fillId="3" borderId="2" applyProtection="0"/>
    <xf numFmtId="2" fontId="20" fillId="0" borderId="0" applyFill="0" applyBorder="0" applyProtection="0"/>
    <xf numFmtId="2" fontId="21" fillId="0" borderId="0" applyFill="0" applyBorder="0" applyProtection="0"/>
    <xf numFmtId="2" fontId="21" fillId="4" borderId="2" applyProtection="0"/>
    <xf numFmtId="2" fontId="21" fillId="5" borderId="2" applyProtection="0"/>
    <xf numFmtId="2" fontId="21" fillId="6" borderId="2" applyProtection="0"/>
    <xf numFmtId="2" fontId="21" fillId="6" borderId="2" applyProtection="0">
      <alignment horizontal="center"/>
    </xf>
    <xf numFmtId="2" fontId="21" fillId="5" borderId="2" applyProtection="0">
      <alignment horizontal="center"/>
    </xf>
    <xf numFmtId="0" fontId="6" fillId="0" borderId="0"/>
    <xf numFmtId="0" fontId="1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3" fillId="0" borderId="0"/>
    <xf numFmtId="0" fontId="6" fillId="0" borderId="0"/>
    <xf numFmtId="0" fontId="6" fillId="0" borderId="0"/>
    <xf numFmtId="0" fontId="6" fillId="0" borderId="0"/>
    <xf numFmtId="0" fontId="13" fillId="0" borderId="0"/>
    <xf numFmtId="0" fontId="11" fillId="0" borderId="0"/>
    <xf numFmtId="0" fontId="13" fillId="0" borderId="0"/>
    <xf numFmtId="0" fontId="16" fillId="0" borderId="0"/>
    <xf numFmtId="0" fontId="16" fillId="0" borderId="0"/>
    <xf numFmtId="164" fontId="22" fillId="0" borderId="0"/>
    <xf numFmtId="0" fontId="2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7" fillId="0" borderId="0"/>
    <xf numFmtId="0" fontId="10" fillId="0" borderId="0"/>
    <xf numFmtId="0" fontId="6" fillId="0" borderId="0"/>
    <xf numFmtId="0" fontId="5" fillId="0" borderId="0"/>
    <xf numFmtId="0" fontId="28" fillId="0" borderId="0"/>
    <xf numFmtId="0" fontId="3" fillId="0" borderId="0"/>
    <xf numFmtId="0" fontId="13" fillId="0" borderId="0"/>
    <xf numFmtId="0" fontId="27" fillId="0" borderId="0"/>
    <xf numFmtId="0" fontId="27" fillId="0" borderId="0"/>
    <xf numFmtId="0" fontId="3" fillId="0" borderId="0"/>
    <xf numFmtId="0" fontId="27" fillId="0" borderId="0"/>
    <xf numFmtId="0" fontId="1" fillId="0" borderId="0"/>
    <xf numFmtId="0" fontId="1" fillId="0" borderId="0"/>
  </cellStyleXfs>
  <cellXfs count="135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5" fillId="0" borderId="1" xfId="49" applyBorder="1" applyAlignment="1">
      <alignment horizontal="center" vertical="center" wrapText="1"/>
    </xf>
    <xf numFmtId="0" fontId="5" fillId="0" borderId="0" xfId="49" applyAlignment="1">
      <alignment vertical="center" wrapText="1"/>
    </xf>
    <xf numFmtId="0" fontId="5" fillId="0" borderId="1" xfId="49" applyBorder="1" applyAlignment="1">
      <alignment vertical="center" wrapText="1"/>
    </xf>
    <xf numFmtId="0" fontId="7" fillId="7" borderId="1" xfId="49" applyFont="1" applyFill="1" applyBorder="1" applyAlignment="1">
      <alignment horizontal="center" vertical="center" wrapText="1"/>
    </xf>
    <xf numFmtId="0" fontId="7" fillId="2" borderId="1" xfId="49" applyFont="1" applyFill="1" applyBorder="1" applyAlignment="1">
      <alignment horizontal="center" vertical="center" wrapText="1"/>
    </xf>
    <xf numFmtId="0" fontId="26" fillId="2" borderId="1" xfId="49" applyFont="1" applyFill="1" applyBorder="1" applyAlignment="1">
      <alignment horizontal="center" vertical="center" wrapText="1"/>
    </xf>
    <xf numFmtId="0" fontId="4" fillId="0" borderId="1" xfId="49" applyFont="1" applyBorder="1" applyAlignment="1">
      <alignment vertical="center" wrapText="1"/>
    </xf>
    <xf numFmtId="0" fontId="2" fillId="0" borderId="1" xfId="49" applyFont="1" applyBorder="1" applyAlignment="1">
      <alignment horizontal="center" vertical="center" wrapText="1"/>
    </xf>
    <xf numFmtId="0" fontId="2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9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7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25" fillId="0" borderId="0" xfId="57" applyFont="1" applyAlignment="1">
      <alignment horizontal="center"/>
    </xf>
    <xf numFmtId="0" fontId="30" fillId="0" borderId="0" xfId="57" applyFont="1"/>
    <xf numFmtId="0" fontId="30" fillId="0" borderId="0" xfId="57" applyFont="1" applyAlignment="1">
      <alignment vertical="justify"/>
    </xf>
    <xf numFmtId="0" fontId="30" fillId="0" borderId="1" xfId="57" applyFont="1" applyBorder="1" applyAlignment="1">
      <alignment horizontal="center" vertical="center" wrapText="1"/>
    </xf>
    <xf numFmtId="0" fontId="24" fillId="0" borderId="1" xfId="57" applyFont="1" applyBorder="1" applyAlignment="1">
      <alignment horizontal="center" vertical="center" wrapText="1"/>
    </xf>
    <xf numFmtId="0" fontId="30" fillId="0" borderId="4" xfId="57" applyFont="1" applyBorder="1" applyAlignment="1">
      <alignment horizontal="center" vertical="center" wrapText="1"/>
    </xf>
    <xf numFmtId="0" fontId="30" fillId="0" borderId="0" xfId="57" applyFont="1" applyAlignment="1">
      <alignment horizontal="center"/>
    </xf>
    <xf numFmtId="0" fontId="30" fillId="10" borderId="0" xfId="57" applyFont="1" applyFill="1" applyAlignment="1">
      <alignment horizontal="right" vertical="center"/>
    </xf>
    <xf numFmtId="0" fontId="30" fillId="0" borderId="0" xfId="57" applyFont="1" applyAlignment="1">
      <alignment horizontal="center" vertical="justify"/>
    </xf>
    <xf numFmtId="0" fontId="30" fillId="0" borderId="1" xfId="57" applyFont="1" applyBorder="1" applyAlignment="1">
      <alignment horizontal="center" vertical="justify" wrapText="1"/>
    </xf>
    <xf numFmtId="0" fontId="30" fillId="0" borderId="1" xfId="47" applyFont="1" applyBorder="1" applyAlignment="1">
      <alignment horizontal="center" vertical="justify" wrapText="1"/>
    </xf>
    <xf numFmtId="0" fontId="30" fillId="0" borderId="9" xfId="47" applyFont="1" applyBorder="1" applyAlignment="1">
      <alignment horizontal="center" vertical="justify" wrapText="1"/>
    </xf>
    <xf numFmtId="0" fontId="24" fillId="0" borderId="1" xfId="0" applyFont="1" applyBorder="1" applyAlignment="1">
      <alignment horizontal="center" vertical="center" wrapText="1"/>
    </xf>
    <xf numFmtId="0" fontId="30" fillId="0" borderId="0" xfId="57" applyFont="1" applyAlignment="1">
      <alignment horizontal="left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9" fillId="8" borderId="10" xfId="0" applyFont="1" applyFill="1" applyBorder="1" applyAlignment="1">
      <alignment vertical="center" textRotation="90"/>
    </xf>
    <xf numFmtId="0" fontId="9" fillId="9" borderId="10" xfId="0" applyFont="1" applyFill="1" applyBorder="1" applyAlignment="1">
      <alignment vertical="center" textRotation="90"/>
    </xf>
    <xf numFmtId="0" fontId="9" fillId="8" borderId="10" xfId="0" applyFont="1" applyFill="1" applyBorder="1" applyAlignment="1">
      <alignment horizontal="center" textRotation="90"/>
    </xf>
    <xf numFmtId="0" fontId="9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49" fontId="30" fillId="0" borderId="1" xfId="57" applyNumberFormat="1" applyFont="1" applyBorder="1" applyAlignment="1">
      <alignment horizontal="center" vertical="center" wrapText="1"/>
    </xf>
    <xf numFmtId="49" fontId="30" fillId="0" borderId="0" xfId="57" applyNumberFormat="1" applyFont="1" applyAlignment="1">
      <alignment horizontal="left" vertical="center" wrapText="1"/>
    </xf>
    <xf numFmtId="49" fontId="30" fillId="0" borderId="1" xfId="57" applyNumberFormat="1" applyFont="1" applyBorder="1" applyAlignment="1">
      <alignment horizontal="center" vertical="justify" wrapText="1"/>
    </xf>
    <xf numFmtId="49" fontId="30" fillId="0" borderId="1" xfId="47" applyNumberFormat="1" applyFont="1" applyBorder="1" applyAlignment="1">
      <alignment horizontal="center" vertical="justify" wrapText="1"/>
    </xf>
    <xf numFmtId="49" fontId="30" fillId="0" borderId="0" xfId="57" applyNumberFormat="1" applyFont="1" applyAlignment="1">
      <alignment vertical="justify"/>
    </xf>
    <xf numFmtId="49" fontId="30" fillId="0" borderId="0" xfId="57" applyNumberFormat="1" applyFont="1" applyAlignment="1">
      <alignment vertical="center"/>
    </xf>
    <xf numFmtId="2" fontId="7" fillId="8" borderId="5" xfId="0" applyNumberFormat="1" applyFont="1" applyFill="1" applyBorder="1" applyAlignment="1">
      <alignment horizontal="center" vertical="center" textRotation="90"/>
    </xf>
    <xf numFmtId="2" fontId="7" fillId="8" borderId="6" xfId="0" applyNumberFormat="1" applyFont="1" applyFill="1" applyBorder="1" applyAlignment="1">
      <alignment horizontal="center" vertical="center" textRotation="90"/>
    </xf>
    <xf numFmtId="0" fontId="7" fillId="0" borderId="0" xfId="0" applyFont="1" applyAlignment="1">
      <alignment horizontal="center" vertical="center" textRotation="90"/>
    </xf>
    <xf numFmtId="0" fontId="7" fillId="0" borderId="3" xfId="0" applyFont="1" applyBorder="1" applyAlignment="1">
      <alignment horizontal="center" vertical="center" textRotation="90"/>
    </xf>
    <xf numFmtId="0" fontId="7" fillId="0" borderId="0" xfId="0" applyFont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2" fontId="7" fillId="8" borderId="4" xfId="0" applyNumberFormat="1" applyFont="1" applyFill="1" applyBorder="1" applyAlignment="1">
      <alignment horizontal="center" vertical="center"/>
    </xf>
    <xf numFmtId="2" fontId="7" fillId="8" borderId="9" xfId="0" applyNumberFormat="1" applyFont="1" applyFill="1" applyBorder="1" applyAlignment="1">
      <alignment horizontal="center" vertical="center"/>
    </xf>
    <xf numFmtId="2" fontId="7" fillId="8" borderId="4" xfId="0" applyNumberFormat="1" applyFont="1" applyFill="1" applyBorder="1" applyAlignment="1">
      <alignment horizontal="center" vertical="center" wrapText="1"/>
    </xf>
    <xf numFmtId="0" fontId="25" fillId="0" borderId="0" xfId="57" applyFont="1" applyAlignment="1">
      <alignment horizontal="center" vertical="center"/>
    </xf>
    <xf numFmtId="0" fontId="30" fillId="0" borderId="0" xfId="57" applyFont="1" applyAlignment="1">
      <alignment horizontal="center" vertical="center"/>
    </xf>
    <xf numFmtId="0" fontId="30" fillId="0" borderId="3" xfId="57" applyFont="1" applyBorder="1" applyAlignment="1">
      <alignment vertical="center"/>
    </xf>
    <xf numFmtId="0" fontId="31" fillId="0" borderId="4" xfId="57" applyFont="1" applyBorder="1" applyAlignment="1">
      <alignment horizontal="left" vertical="center" wrapText="1"/>
    </xf>
    <xf numFmtId="0" fontId="31" fillId="0" borderId="7" xfId="57" applyFont="1" applyBorder="1" applyAlignment="1">
      <alignment horizontal="left" vertical="center" wrapText="1"/>
    </xf>
    <xf numFmtId="0" fontId="31" fillId="0" borderId="9" xfId="57" applyFont="1" applyBorder="1" applyAlignment="1">
      <alignment horizontal="left" vertical="center" wrapText="1"/>
    </xf>
    <xf numFmtId="0" fontId="31" fillId="0" borderId="1" xfId="57" applyFont="1" applyBorder="1" applyAlignment="1">
      <alignment horizontal="center" vertical="center" wrapText="1"/>
    </xf>
    <xf numFmtId="0" fontId="30" fillId="0" borderId="0" xfId="57" applyFont="1" applyAlignment="1">
      <alignment vertical="justify"/>
    </xf>
    <xf numFmtId="0" fontId="29" fillId="0" borderId="0" xfId="57" applyFont="1" applyAlignment="1">
      <alignment vertical="center"/>
    </xf>
    <xf numFmtId="49" fontId="30" fillId="0" borderId="1" xfId="57" applyNumberFormat="1" applyFont="1" applyBorder="1" applyAlignment="1">
      <alignment horizontal="center" vertical="center" wrapText="1"/>
    </xf>
    <xf numFmtId="0" fontId="30" fillId="0" borderId="1" xfId="57" applyFont="1" applyBorder="1" applyAlignment="1">
      <alignment horizontal="center" vertical="center" wrapText="1"/>
    </xf>
    <xf numFmtId="0" fontId="24" fillId="0" borderId="1" xfId="57" applyFont="1" applyBorder="1" applyAlignment="1">
      <alignment horizontal="center" vertical="center" wrapText="1"/>
    </xf>
    <xf numFmtId="0" fontId="24" fillId="0" borderId="4" xfId="57" applyFont="1" applyBorder="1" applyAlignment="1">
      <alignment horizontal="center" vertical="center" wrapText="1"/>
    </xf>
    <xf numFmtId="0" fontId="30" fillId="0" borderId="12" xfId="57" applyFont="1" applyBorder="1" applyAlignment="1">
      <alignment horizontal="center" vertical="center" wrapText="1"/>
    </xf>
    <xf numFmtId="0" fontId="30" fillId="0" borderId="8" xfId="57" applyFont="1" applyBorder="1" applyAlignment="1">
      <alignment horizontal="center" vertical="center" wrapText="1"/>
    </xf>
    <xf numFmtId="0" fontId="30" fillId="0" borderId="13" xfId="57" applyFont="1" applyBorder="1" applyAlignment="1">
      <alignment horizontal="center" vertical="center" wrapText="1"/>
    </xf>
    <xf numFmtId="0" fontId="30" fillId="0" borderId="14" xfId="57" applyFont="1" applyBorder="1" applyAlignment="1">
      <alignment horizontal="center" vertical="center" wrapText="1"/>
    </xf>
    <xf numFmtId="0" fontId="30" fillId="0" borderId="3" xfId="57" applyFont="1" applyBorder="1" applyAlignment="1">
      <alignment horizontal="center" vertical="center" wrapText="1"/>
    </xf>
    <xf numFmtId="0" fontId="30" fillId="0" borderId="15" xfId="57" applyFont="1" applyBorder="1" applyAlignment="1">
      <alignment horizontal="center" vertical="center" wrapText="1"/>
    </xf>
    <xf numFmtId="0" fontId="30" fillId="0" borderId="8" xfId="57" applyFont="1" applyBorder="1"/>
    <xf numFmtId="0" fontId="30" fillId="0" borderId="0" xfId="57" applyFont="1" applyAlignment="1">
      <alignment horizontal="left" vertical="justify"/>
    </xf>
    <xf numFmtId="0" fontId="30" fillId="0" borderId="0" xfId="57" applyFont="1" applyAlignment="1">
      <alignment vertical="center"/>
    </xf>
    <xf numFmtId="0" fontId="31" fillId="0" borderId="0" xfId="57" applyFont="1" applyAlignment="1">
      <alignment vertical="center"/>
    </xf>
    <xf numFmtId="0" fontId="30" fillId="0" borderId="4" xfId="57" applyFont="1" applyBorder="1" applyAlignment="1">
      <alignment horizontal="left" vertical="center"/>
    </xf>
    <xf numFmtId="0" fontId="30" fillId="0" borderId="7" xfId="57" applyFont="1" applyBorder="1" applyAlignment="1">
      <alignment horizontal="left" vertical="center"/>
    </xf>
    <xf numFmtId="0" fontId="30" fillId="0" borderId="9" xfId="57" applyFont="1" applyBorder="1" applyAlignment="1">
      <alignment horizontal="left" vertical="center"/>
    </xf>
    <xf numFmtId="0" fontId="30" fillId="0" borderId="1" xfId="57" applyFont="1" applyBorder="1" applyAlignment="1">
      <alignment horizontal="center" vertical="center"/>
    </xf>
    <xf numFmtId="0" fontId="30" fillId="0" borderId="0" xfId="57" applyFont="1"/>
    <xf numFmtId="0" fontId="30" fillId="0" borderId="4" xfId="47" applyFont="1" applyBorder="1" applyAlignment="1">
      <alignment horizontal="left" vertical="justify" wrapText="1"/>
    </xf>
    <xf numFmtId="0" fontId="30" fillId="0" borderId="7" xfId="47" applyFont="1" applyBorder="1" applyAlignment="1">
      <alignment horizontal="left" vertical="justify" wrapText="1"/>
    </xf>
    <xf numFmtId="0" fontId="30" fillId="0" borderId="9" xfId="47" applyFont="1" applyBorder="1" applyAlignment="1">
      <alignment horizontal="left" vertical="justify" wrapText="1"/>
    </xf>
    <xf numFmtId="0" fontId="30" fillId="0" borderId="4" xfId="57" applyFont="1" applyBorder="1" applyAlignment="1">
      <alignment horizontal="center" vertical="justify"/>
    </xf>
    <xf numFmtId="0" fontId="30" fillId="0" borderId="7" xfId="57" applyFont="1" applyBorder="1" applyAlignment="1">
      <alignment horizontal="center" vertical="justify"/>
    </xf>
    <xf numFmtId="0" fontId="30" fillId="0" borderId="9" xfId="57" applyFont="1" applyBorder="1" applyAlignment="1">
      <alignment horizontal="center" vertical="justify"/>
    </xf>
    <xf numFmtId="0" fontId="30" fillId="0" borderId="0" xfId="57" applyFont="1" applyAlignment="1">
      <alignment horizontal="left" vertical="center" wrapText="1"/>
    </xf>
    <xf numFmtId="0" fontId="30" fillId="0" borderId="0" xfId="57" applyFont="1" applyAlignment="1">
      <alignment horizontal="center" vertical="center" wrapText="1"/>
    </xf>
    <xf numFmtId="0" fontId="30" fillId="10" borderId="3" xfId="57" applyFont="1" applyFill="1" applyBorder="1" applyAlignment="1">
      <alignment horizontal="left" vertical="justify" wrapText="1"/>
    </xf>
    <xf numFmtId="0" fontId="30" fillId="0" borderId="4" xfId="57" applyFont="1" applyBorder="1" applyAlignment="1">
      <alignment horizontal="center" vertical="justify" wrapText="1"/>
    </xf>
    <xf numFmtId="0" fontId="30" fillId="0" borderId="7" xfId="57" applyFont="1" applyBorder="1" applyAlignment="1">
      <alignment horizontal="center" vertical="justify" wrapText="1"/>
    </xf>
    <xf numFmtId="0" fontId="30" fillId="0" borderId="9" xfId="57" applyFont="1" applyBorder="1" applyAlignment="1">
      <alignment horizontal="center" vertical="justify" wrapText="1"/>
    </xf>
    <xf numFmtId="0" fontId="25" fillId="0" borderId="0" xfId="57" applyFont="1" applyAlignment="1">
      <alignment vertical="justify"/>
    </xf>
    <xf numFmtId="0" fontId="30" fillId="0" borderId="0" xfId="57" applyFont="1" applyAlignment="1">
      <alignment horizontal="left" vertical="justify" wrapText="1"/>
    </xf>
    <xf numFmtId="0" fontId="30" fillId="0" borderId="1" xfId="57" applyFont="1" applyBorder="1" applyAlignment="1">
      <alignment horizontal="center" vertical="justify" wrapText="1"/>
    </xf>
    <xf numFmtId="0" fontId="30" fillId="0" borderId="4" xfId="57" applyFont="1" applyBorder="1" applyAlignment="1">
      <alignment vertical="center" wrapText="1"/>
    </xf>
    <xf numFmtId="0" fontId="30" fillId="0" borderId="7" xfId="57" applyFont="1" applyBorder="1" applyAlignment="1">
      <alignment vertical="center" wrapText="1"/>
    </xf>
    <xf numFmtId="0" fontId="30" fillId="0" borderId="9" xfId="57" applyFont="1" applyBorder="1" applyAlignment="1">
      <alignment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textRotation="90"/>
    </xf>
    <xf numFmtId="0" fontId="9" fillId="9" borderId="10" xfId="0" applyFont="1" applyFill="1" applyBorder="1" applyAlignment="1">
      <alignment horizontal="center" vertical="center" wrapText="1"/>
    </xf>
    <xf numFmtId="0" fontId="9" fillId="8" borderId="10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</cellXfs>
  <cellStyles count="59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tabSelected="1" workbookViewId="0">
      <selection activeCell="B23" sqref="B23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3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70.85546875" style="3" customWidth="1"/>
  </cols>
  <sheetData>
    <row r="1" spans="1:17" ht="30" customHeight="1" x14ac:dyDescent="0.25">
      <c r="A1" s="71" t="s">
        <v>2</v>
      </c>
      <c r="B1" s="71" t="s">
        <v>3</v>
      </c>
      <c r="C1" s="65" t="s">
        <v>10</v>
      </c>
      <c r="D1" s="72" t="s">
        <v>12</v>
      </c>
      <c r="E1" s="73"/>
      <c r="F1" s="74" t="s">
        <v>284</v>
      </c>
      <c r="G1" s="73"/>
      <c r="H1" s="65" t="s">
        <v>13</v>
      </c>
      <c r="I1" s="65" t="s">
        <v>14</v>
      </c>
      <c r="P1" s="67" t="s">
        <v>15</v>
      </c>
      <c r="Q1" s="69" t="s">
        <v>16</v>
      </c>
    </row>
    <row r="2" spans="1:17" ht="71.25" customHeight="1" x14ac:dyDescent="0.25">
      <c r="A2" s="71"/>
      <c r="B2" s="71"/>
      <c r="C2" s="66"/>
      <c r="D2" s="31" t="s">
        <v>9</v>
      </c>
      <c r="E2" s="31" t="s">
        <v>11</v>
      </c>
      <c r="F2" s="31" t="s">
        <v>285</v>
      </c>
      <c r="G2" s="31" t="s">
        <v>286</v>
      </c>
      <c r="H2" s="66"/>
      <c r="I2" s="66"/>
      <c r="P2" s="68"/>
      <c r="Q2" s="70"/>
    </row>
    <row r="3" spans="1:17" ht="15" customHeight="1" x14ac:dyDescent="0.25">
      <c r="A3" s="25" t="s">
        <v>269</v>
      </c>
      <c r="B3" s="25" t="s">
        <v>269</v>
      </c>
      <c r="C3" s="26"/>
      <c r="D3" s="26">
        <v>0</v>
      </c>
      <c r="E3" s="26">
        <v>0</v>
      </c>
      <c r="F3" s="26" t="s">
        <v>8</v>
      </c>
      <c r="G3" s="26" t="s">
        <v>8</v>
      </c>
      <c r="H3" s="26">
        <v>0</v>
      </c>
      <c r="I3" s="26"/>
      <c r="K3" s="13"/>
      <c r="P3" s="25">
        <v>0</v>
      </c>
      <c r="Q3" s="32" t="s">
        <v>17</v>
      </c>
    </row>
    <row r="4" spans="1:17" ht="15" customHeight="1" x14ac:dyDescent="0.25">
      <c r="A4" s="33" t="s">
        <v>305</v>
      </c>
      <c r="B4" s="33" t="s">
        <v>305</v>
      </c>
      <c r="C4" s="26">
        <v>0</v>
      </c>
      <c r="D4" s="26">
        <v>0</v>
      </c>
      <c r="E4" s="26">
        <v>0</v>
      </c>
      <c r="F4" s="26" t="s">
        <v>8</v>
      </c>
      <c r="G4" s="26" t="s">
        <v>8</v>
      </c>
      <c r="H4" s="26">
        <v>0</v>
      </c>
      <c r="I4" s="26"/>
      <c r="J4" s="10"/>
      <c r="P4" s="25" t="s">
        <v>8</v>
      </c>
      <c r="Q4" s="34" t="s">
        <v>302</v>
      </c>
    </row>
    <row r="5" spans="1:17" ht="15" customHeight="1" x14ac:dyDescent="0.25">
      <c r="A5" s="25" t="s">
        <v>82</v>
      </c>
      <c r="B5" s="25" t="s">
        <v>82</v>
      </c>
      <c r="C5" s="26">
        <v>0</v>
      </c>
      <c r="D5" s="26">
        <v>0</v>
      </c>
      <c r="E5" s="26">
        <v>0</v>
      </c>
      <c r="F5" s="26" t="s">
        <v>8</v>
      </c>
      <c r="G5" s="26" t="s">
        <v>8</v>
      </c>
      <c r="H5" s="26">
        <v>0</v>
      </c>
      <c r="I5" s="26">
        <v>0</v>
      </c>
      <c r="J5" s="10"/>
      <c r="P5" s="25" t="s">
        <v>24</v>
      </c>
      <c r="Q5" s="32" t="s">
        <v>303</v>
      </c>
    </row>
    <row r="6" spans="1:17" ht="15" customHeight="1" x14ac:dyDescent="0.25">
      <c r="A6" s="51" t="s">
        <v>315</v>
      </c>
      <c r="B6" s="51" t="s">
        <v>315</v>
      </c>
      <c r="C6" s="52" t="s">
        <v>8</v>
      </c>
      <c r="D6" s="52" t="s">
        <v>8</v>
      </c>
      <c r="E6" s="52" t="s">
        <v>8</v>
      </c>
      <c r="F6" s="52" t="s">
        <v>8</v>
      </c>
      <c r="G6" s="52" t="s">
        <v>8</v>
      </c>
      <c r="H6" s="52" t="s">
        <v>8</v>
      </c>
      <c r="I6" s="52" t="s">
        <v>8</v>
      </c>
      <c r="J6" s="10"/>
      <c r="P6" s="51"/>
      <c r="Q6" s="53"/>
    </row>
    <row r="7" spans="1:17" ht="15" customHeight="1" x14ac:dyDescent="0.25">
      <c r="A7" s="25" t="s">
        <v>272</v>
      </c>
      <c r="B7" s="25" t="s">
        <v>272</v>
      </c>
      <c r="C7" s="26">
        <v>0</v>
      </c>
      <c r="D7" s="26">
        <v>0</v>
      </c>
      <c r="E7" s="26">
        <v>0</v>
      </c>
      <c r="F7" s="26" t="s">
        <v>8</v>
      </c>
      <c r="G7" s="26" t="s">
        <v>8</v>
      </c>
      <c r="H7" s="26"/>
      <c r="I7" s="26">
        <v>0</v>
      </c>
      <c r="J7" s="10"/>
      <c r="K7" s="13"/>
      <c r="P7" s="25" t="s">
        <v>23</v>
      </c>
      <c r="Q7" s="32" t="s">
        <v>304</v>
      </c>
    </row>
    <row r="8" spans="1:17" ht="15" customHeight="1" x14ac:dyDescent="0.25">
      <c r="A8" s="25" t="s">
        <v>306</v>
      </c>
      <c r="B8" s="25" t="s">
        <v>306</v>
      </c>
      <c r="C8" s="26">
        <v>0</v>
      </c>
      <c r="D8" s="26"/>
      <c r="E8" s="26"/>
      <c r="F8" s="26" t="s">
        <v>24</v>
      </c>
      <c r="G8" s="26" t="s">
        <v>24</v>
      </c>
      <c r="H8" s="26"/>
      <c r="I8" s="26">
        <v>0</v>
      </c>
      <c r="J8" s="11"/>
      <c r="K8" s="13"/>
    </row>
    <row r="9" spans="1:17" ht="15" customHeight="1" x14ac:dyDescent="0.25">
      <c r="A9" s="25" t="s">
        <v>289</v>
      </c>
      <c r="B9" s="25" t="s">
        <v>289</v>
      </c>
      <c r="C9" s="26">
        <v>0</v>
      </c>
      <c r="D9" s="26"/>
      <c r="E9" s="26"/>
      <c r="F9" s="26" t="s">
        <v>24</v>
      </c>
      <c r="G9" s="26" t="s">
        <v>24</v>
      </c>
      <c r="H9" s="26"/>
      <c r="I9" s="26"/>
      <c r="J9" s="10"/>
      <c r="K9" s="13"/>
      <c r="Q9" s="35"/>
    </row>
    <row r="10" spans="1:17" ht="15" customHeight="1" x14ac:dyDescent="0.25">
      <c r="A10" s="25" t="s">
        <v>290</v>
      </c>
      <c r="B10" s="25" t="s">
        <v>290</v>
      </c>
      <c r="C10" s="26">
        <v>0</v>
      </c>
      <c r="D10" s="26">
        <v>0</v>
      </c>
      <c r="E10" s="26">
        <v>0</v>
      </c>
      <c r="F10" s="26" t="s">
        <v>8</v>
      </c>
      <c r="G10" s="26" t="s">
        <v>8</v>
      </c>
      <c r="H10" s="26"/>
      <c r="I10" s="26">
        <v>0</v>
      </c>
      <c r="J10" s="12"/>
      <c r="K10" s="13"/>
      <c r="Q10" s="35"/>
    </row>
    <row r="11" spans="1:17" ht="15" customHeight="1" x14ac:dyDescent="0.25">
      <c r="A11" s="25" t="s">
        <v>291</v>
      </c>
      <c r="B11" s="25" t="s">
        <v>291</v>
      </c>
      <c r="C11" s="26">
        <v>0</v>
      </c>
      <c r="D11" s="26">
        <v>0</v>
      </c>
      <c r="E11" s="26">
        <v>0</v>
      </c>
      <c r="F11" s="26" t="s">
        <v>8</v>
      </c>
      <c r="G11" s="26" t="s">
        <v>8</v>
      </c>
      <c r="H11" s="26">
        <v>0</v>
      </c>
      <c r="I11" s="26">
        <v>0</v>
      </c>
      <c r="J11" s="10"/>
    </row>
    <row r="12" spans="1:17" ht="15" customHeight="1" x14ac:dyDescent="0.25">
      <c r="A12" s="25" t="s">
        <v>19</v>
      </c>
      <c r="B12" s="25" t="s">
        <v>19</v>
      </c>
      <c r="C12" s="26">
        <v>0</v>
      </c>
      <c r="D12" s="26"/>
      <c r="E12" s="26"/>
      <c r="F12" s="26" t="s">
        <v>23</v>
      </c>
      <c r="G12" s="26">
        <v>0</v>
      </c>
      <c r="H12" s="26"/>
      <c r="I12" s="26">
        <v>0</v>
      </c>
      <c r="J12" s="11"/>
      <c r="K12" s="13"/>
    </row>
    <row r="13" spans="1:17" ht="15" customHeight="1" x14ac:dyDescent="0.25">
      <c r="A13" s="25" t="s">
        <v>6</v>
      </c>
      <c r="B13" s="25" t="s">
        <v>6</v>
      </c>
      <c r="C13" s="26">
        <v>0</v>
      </c>
      <c r="D13" s="26"/>
      <c r="E13" s="26"/>
      <c r="F13" s="26" t="s">
        <v>23</v>
      </c>
      <c r="G13" s="26">
        <v>0</v>
      </c>
      <c r="H13" s="26"/>
      <c r="I13" s="26">
        <v>0</v>
      </c>
      <c r="J13" s="11"/>
      <c r="K13" s="13"/>
    </row>
    <row r="14" spans="1:17" ht="15" customHeight="1" x14ac:dyDescent="0.25">
      <c r="A14" s="25" t="s">
        <v>4</v>
      </c>
      <c r="B14" s="25" t="s">
        <v>4</v>
      </c>
      <c r="C14" s="26">
        <v>0</v>
      </c>
      <c r="D14" s="26"/>
      <c r="E14" s="26"/>
      <c r="F14" s="26">
        <v>0</v>
      </c>
      <c r="G14" s="26">
        <v>0</v>
      </c>
      <c r="H14" s="26"/>
      <c r="I14" s="26">
        <v>0</v>
      </c>
      <c r="J14" s="11"/>
      <c r="K14" s="13"/>
    </row>
    <row r="15" spans="1:17" ht="15" customHeight="1" x14ac:dyDescent="0.25">
      <c r="A15" s="25" t="s">
        <v>21</v>
      </c>
      <c r="B15" s="25" t="s">
        <v>21</v>
      </c>
      <c r="C15" s="26">
        <v>0</v>
      </c>
      <c r="D15" s="26"/>
      <c r="E15" s="26"/>
      <c r="F15" s="26" t="s">
        <v>23</v>
      </c>
      <c r="G15" s="26">
        <v>0</v>
      </c>
      <c r="H15" s="26"/>
      <c r="I15" s="26">
        <v>0</v>
      </c>
      <c r="J15" s="10"/>
      <c r="K15" s="13"/>
    </row>
    <row r="16" spans="1:17" ht="15" customHeight="1" x14ac:dyDescent="0.25">
      <c r="A16" s="25" t="s">
        <v>5</v>
      </c>
      <c r="B16" s="25" t="s">
        <v>5</v>
      </c>
      <c r="C16" s="26">
        <v>0</v>
      </c>
      <c r="D16" s="26"/>
      <c r="E16" s="26"/>
      <c r="F16" s="26" t="s">
        <v>24</v>
      </c>
      <c r="G16" s="26" t="s">
        <v>24</v>
      </c>
      <c r="H16" s="26"/>
      <c r="I16" s="26">
        <v>0</v>
      </c>
      <c r="J16" s="11"/>
      <c r="K16" s="13"/>
    </row>
    <row r="17" spans="1:17" ht="15" customHeight="1" x14ac:dyDescent="0.25">
      <c r="A17" s="25" t="s">
        <v>22</v>
      </c>
      <c r="B17" s="25" t="s">
        <v>22</v>
      </c>
      <c r="C17" s="26">
        <v>0</v>
      </c>
      <c r="D17" s="26"/>
      <c r="E17" s="26"/>
      <c r="F17" s="26" t="s">
        <v>24</v>
      </c>
      <c r="G17" s="26" t="s">
        <v>24</v>
      </c>
      <c r="H17" s="26"/>
      <c r="I17" s="26"/>
      <c r="Q17" s="36"/>
    </row>
    <row r="18" spans="1:17" ht="15" customHeight="1" x14ac:dyDescent="0.25">
      <c r="A18" s="25" t="s">
        <v>0</v>
      </c>
      <c r="B18" s="25" t="s">
        <v>0</v>
      </c>
      <c r="C18" s="26">
        <v>0</v>
      </c>
      <c r="D18" s="26"/>
      <c r="E18" s="26"/>
      <c r="F18" s="26" t="s">
        <v>24</v>
      </c>
      <c r="G18" s="26" t="s">
        <v>24</v>
      </c>
      <c r="H18" s="26"/>
      <c r="I18" s="26"/>
    </row>
    <row r="19" spans="1:17" ht="15" customHeight="1" x14ac:dyDescent="0.25">
      <c r="A19" s="25" t="s">
        <v>1</v>
      </c>
      <c r="B19" s="25" t="s">
        <v>1</v>
      </c>
      <c r="C19" s="26">
        <v>0</v>
      </c>
      <c r="D19" s="26"/>
      <c r="E19" s="26"/>
      <c r="F19" s="26" t="s">
        <v>24</v>
      </c>
      <c r="G19" s="26" t="s">
        <v>24</v>
      </c>
      <c r="H19" s="26"/>
      <c r="I19" s="26">
        <v>0</v>
      </c>
    </row>
    <row r="20" spans="1:17" ht="15" customHeight="1" x14ac:dyDescent="0.25">
      <c r="A20" s="25" t="s">
        <v>7</v>
      </c>
      <c r="B20" s="25" t="s">
        <v>7</v>
      </c>
      <c r="C20" s="26"/>
      <c r="D20" s="26"/>
      <c r="E20" s="26"/>
      <c r="F20" s="26"/>
      <c r="G20" s="26"/>
      <c r="H20" s="26"/>
      <c r="I20" s="26"/>
    </row>
    <row r="21" spans="1:17" ht="15" customHeight="1" x14ac:dyDescent="0.25">
      <c r="A21" s="25" t="s">
        <v>292</v>
      </c>
      <c r="B21" s="25" t="s">
        <v>292</v>
      </c>
      <c r="C21" s="26"/>
      <c r="D21" s="26"/>
      <c r="E21" s="26"/>
      <c r="F21" s="26"/>
      <c r="G21" s="26"/>
      <c r="H21" s="26"/>
      <c r="I21" s="26"/>
    </row>
    <row r="22" spans="1:17" ht="15" customHeight="1" x14ac:dyDescent="0.25">
      <c r="A22" s="25" t="s">
        <v>293</v>
      </c>
      <c r="B22" s="25" t="s">
        <v>293</v>
      </c>
      <c r="C22" s="26"/>
      <c r="D22" s="26"/>
      <c r="E22" s="26"/>
      <c r="F22" s="26"/>
      <c r="G22" s="26"/>
      <c r="H22" s="26"/>
      <c r="I22" s="26"/>
    </row>
    <row r="23" spans="1:17" ht="15" customHeight="1" x14ac:dyDescent="0.25">
      <c r="A23" s="25" t="s">
        <v>294</v>
      </c>
      <c r="B23" s="25" t="s">
        <v>294</v>
      </c>
      <c r="C23" s="26">
        <v>0</v>
      </c>
      <c r="D23" s="26"/>
      <c r="E23" s="26"/>
      <c r="F23" s="26" t="s">
        <v>24</v>
      </c>
      <c r="G23" s="26" t="s">
        <v>24</v>
      </c>
      <c r="H23" s="26"/>
      <c r="I23" s="26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3708F-CCC4-45AD-802B-88F65E8BEDC1}">
  <sheetPr codeName="Лист1">
    <pageSetUpPr fitToPage="1"/>
  </sheetPr>
  <dimension ref="A1:M34"/>
  <sheetViews>
    <sheetView showWhiteSpace="0" view="pageBreakPreview" zoomScale="89" zoomScaleNormal="100" zoomScaleSheetLayoutView="89" zoomScalePageLayoutView="69" workbookViewId="0">
      <selection activeCell="H29" sqref="H29"/>
    </sheetView>
  </sheetViews>
  <sheetFormatPr defaultColWidth="9.140625" defaultRowHeight="18" customHeight="1" x14ac:dyDescent="0.25"/>
  <cols>
    <col min="1" max="1" width="13.42578125" style="64" customWidth="1"/>
    <col min="2" max="2" width="47.28515625" style="50" customWidth="1"/>
    <col min="3" max="3" width="29.42578125" style="50" customWidth="1"/>
    <col min="4" max="4" width="7.5703125" style="43" customWidth="1"/>
    <col min="5" max="5" width="5.140625" style="43" customWidth="1"/>
    <col min="6" max="6" width="13.140625" style="38" customWidth="1"/>
    <col min="7" max="7" width="14.42578125" style="38" customWidth="1"/>
    <col min="8" max="8" width="14.7109375" style="38" customWidth="1"/>
    <col min="9" max="10" width="15.85546875" style="38" customWidth="1"/>
    <col min="11" max="11" width="16.140625" style="38" customWidth="1"/>
    <col min="12" max="12" width="15.85546875" style="38" customWidth="1"/>
    <col min="13" max="16384" width="9.140625" style="38"/>
  </cols>
  <sheetData>
    <row r="1" spans="1:13" ht="18" customHeight="1" x14ac:dyDescent="0.25">
      <c r="A1" s="75" t="s">
        <v>273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37"/>
    </row>
    <row r="2" spans="1:13" ht="18" customHeight="1" x14ac:dyDescent="0.25">
      <c r="A2" s="75" t="s">
        <v>274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37"/>
    </row>
    <row r="3" spans="1:13" ht="18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37"/>
    </row>
    <row r="4" spans="1:13" ht="18" customHeight="1" x14ac:dyDescent="0.25">
      <c r="A4" s="77" t="s">
        <v>55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</row>
    <row r="5" spans="1:13" ht="18" customHeight="1" x14ac:dyDescent="0.25">
      <c r="A5" s="78" t="s">
        <v>3</v>
      </c>
      <c r="B5" s="79"/>
      <c r="C5" s="79"/>
      <c r="D5" s="79"/>
      <c r="E5" s="79"/>
      <c r="F5" s="79"/>
      <c r="G5" s="79"/>
      <c r="H5" s="79"/>
      <c r="I5" s="80"/>
      <c r="J5" s="81" t="s">
        <v>57</v>
      </c>
      <c r="K5" s="81"/>
      <c r="L5" s="81"/>
    </row>
    <row r="6" spans="1:13" ht="18" customHeight="1" x14ac:dyDescent="0.25">
      <c r="A6" s="98"/>
      <c r="B6" s="99"/>
      <c r="C6" s="99"/>
      <c r="D6" s="99"/>
      <c r="E6" s="99"/>
      <c r="F6" s="99"/>
      <c r="G6" s="99"/>
      <c r="H6" s="99"/>
      <c r="I6" s="100"/>
      <c r="J6" s="101"/>
      <c r="K6" s="101"/>
      <c r="L6" s="101"/>
    </row>
    <row r="7" spans="1:13" ht="18" customHeight="1" x14ac:dyDescent="0.25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3" ht="18" customHeight="1" x14ac:dyDescent="0.25">
      <c r="A8" s="82" t="s">
        <v>275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</row>
    <row r="9" spans="1:13" ht="24.75" customHeight="1" x14ac:dyDescent="0.25">
      <c r="A9" s="84" t="s">
        <v>25</v>
      </c>
      <c r="B9" s="88" t="s">
        <v>26</v>
      </c>
      <c r="C9" s="89"/>
      <c r="D9" s="89"/>
      <c r="E9" s="90"/>
      <c r="F9" s="85" t="s">
        <v>316</v>
      </c>
      <c r="G9" s="85"/>
      <c r="H9" s="85"/>
      <c r="I9" s="85"/>
      <c r="J9" s="85"/>
      <c r="K9" s="85"/>
      <c r="L9" s="85"/>
    </row>
    <row r="10" spans="1:13" ht="40.5" customHeight="1" x14ac:dyDescent="0.25">
      <c r="A10" s="84"/>
      <c r="B10" s="91"/>
      <c r="C10" s="92"/>
      <c r="D10" s="92"/>
      <c r="E10" s="93"/>
      <c r="F10" s="40"/>
      <c r="G10" s="85" t="s">
        <v>12</v>
      </c>
      <c r="H10" s="85"/>
      <c r="I10" s="85" t="s">
        <v>309</v>
      </c>
      <c r="J10" s="85"/>
      <c r="K10" s="86" t="s">
        <v>311</v>
      </c>
      <c r="L10" s="87" t="s">
        <v>276</v>
      </c>
    </row>
    <row r="11" spans="1:13" ht="99" customHeight="1" x14ac:dyDescent="0.25">
      <c r="A11" s="84"/>
      <c r="B11" s="41" t="s">
        <v>277</v>
      </c>
      <c r="C11" s="41" t="s">
        <v>15</v>
      </c>
      <c r="D11" s="40" t="s">
        <v>27</v>
      </c>
      <c r="E11" s="40" t="s">
        <v>317</v>
      </c>
      <c r="F11" s="41" t="s">
        <v>56</v>
      </c>
      <c r="G11" s="40" t="s">
        <v>310</v>
      </c>
      <c r="H11" s="41" t="s">
        <v>278</v>
      </c>
      <c r="I11" s="41" t="s">
        <v>312</v>
      </c>
      <c r="J11" s="41" t="s">
        <v>279</v>
      </c>
      <c r="K11" s="86"/>
      <c r="L11" s="87"/>
    </row>
    <row r="12" spans="1:13" s="43" customFormat="1" ht="18" customHeight="1" x14ac:dyDescent="0.25">
      <c r="A12" s="59">
        <v>1</v>
      </c>
      <c r="B12" s="41">
        <v>2</v>
      </c>
      <c r="C12" s="41">
        <v>3</v>
      </c>
      <c r="D12" s="40">
        <v>4</v>
      </c>
      <c r="E12" s="41">
        <v>5</v>
      </c>
      <c r="F12" s="40">
        <v>6</v>
      </c>
      <c r="G12" s="40">
        <v>7</v>
      </c>
      <c r="H12" s="40">
        <v>8</v>
      </c>
      <c r="I12" s="40">
        <v>9</v>
      </c>
      <c r="J12" s="40">
        <v>10</v>
      </c>
      <c r="K12" s="42">
        <v>11</v>
      </c>
      <c r="L12" s="42">
        <v>12</v>
      </c>
    </row>
    <row r="13" spans="1:13" ht="15.75" x14ac:dyDescent="0.25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</row>
    <row r="14" spans="1:13" ht="15.75" x14ac:dyDescent="0.25">
      <c r="A14" s="95" t="s">
        <v>313</v>
      </c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</row>
    <row r="15" spans="1:13" ht="15.75" x14ac:dyDescent="0.25">
      <c r="A15" s="96" t="s">
        <v>58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</row>
    <row r="16" spans="1:13" ht="15.75" x14ac:dyDescent="0.25">
      <c r="A16" s="96" t="s">
        <v>59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</row>
    <row r="17" spans="1:12" ht="15.75" x14ac:dyDescent="0.25">
      <c r="A17" s="82" t="s">
        <v>280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</row>
    <row r="18" spans="1:12" ht="15.75" x14ac:dyDescent="0.25">
      <c r="A18" s="97" t="s">
        <v>60</v>
      </c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</row>
    <row r="19" spans="1:12" ht="15.75" x14ac:dyDescent="0.25">
      <c r="A19" s="83" t="s">
        <v>314</v>
      </c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</row>
    <row r="20" spans="1:12" ht="15.75" x14ac:dyDescent="0.2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</row>
    <row r="21" spans="1:12" s="43" customFormat="1" ht="18" customHeight="1" x14ac:dyDescent="0.25">
      <c r="A21" s="82" t="s">
        <v>61</v>
      </c>
      <c r="B21" s="82"/>
      <c r="C21" s="39"/>
      <c r="D21" s="39"/>
      <c r="E21" s="39"/>
      <c r="F21" s="39"/>
      <c r="G21" s="39"/>
      <c r="H21" s="39"/>
      <c r="I21" s="39"/>
      <c r="J21" s="39"/>
      <c r="K21" s="39"/>
      <c r="L21" s="44"/>
    </row>
    <row r="22" spans="1:12" s="43" customFormat="1" ht="18" customHeight="1" x14ac:dyDescent="0.25">
      <c r="A22" s="115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</row>
    <row r="23" spans="1:12" s="43" customFormat="1" ht="18" customHeight="1" x14ac:dyDescent="0.25">
      <c r="A23" s="82" t="s">
        <v>281</v>
      </c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44"/>
    </row>
    <row r="24" spans="1:12" ht="15.75" customHeight="1" x14ac:dyDescent="0.25">
      <c r="A24" s="109" t="s">
        <v>318</v>
      </c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1:12" ht="15.6" customHeight="1" x14ac:dyDescent="0.25">
      <c r="A25" s="60"/>
      <c r="B25" s="109"/>
      <c r="C25" s="109"/>
      <c r="D25" s="109"/>
      <c r="E25" s="109"/>
      <c r="F25" s="109"/>
      <c r="G25" s="109"/>
      <c r="H25" s="109"/>
      <c r="I25" s="109"/>
      <c r="J25" s="109"/>
      <c r="K25" s="110"/>
      <c r="L25" s="110"/>
    </row>
    <row r="26" spans="1:12" s="43" customFormat="1" ht="15.75" x14ac:dyDescent="0.25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45"/>
    </row>
    <row r="27" spans="1:12" s="43" customFormat="1" ht="15.75" x14ac:dyDescent="0.25">
      <c r="A27" s="111" t="s">
        <v>282</v>
      </c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45"/>
    </row>
    <row r="28" spans="1:12" s="43" customFormat="1" ht="15.6" customHeight="1" x14ac:dyDescent="0.25">
      <c r="A28" s="61" t="s">
        <v>25</v>
      </c>
      <c r="B28" s="112" t="s">
        <v>3</v>
      </c>
      <c r="C28" s="113"/>
      <c r="D28" s="113"/>
      <c r="E28" s="113"/>
      <c r="F28" s="113"/>
      <c r="G28" s="114"/>
      <c r="H28" s="46" t="s">
        <v>62</v>
      </c>
      <c r="I28" s="46" t="s">
        <v>27</v>
      </c>
      <c r="J28" s="112" t="s">
        <v>63</v>
      </c>
      <c r="K28" s="113"/>
      <c r="L28" s="114"/>
    </row>
    <row r="29" spans="1:12" s="43" customFormat="1" ht="18" customHeight="1" x14ac:dyDescent="0.25">
      <c r="A29" s="62"/>
      <c r="B29" s="103"/>
      <c r="C29" s="104"/>
      <c r="D29" s="104"/>
      <c r="E29" s="104"/>
      <c r="F29" s="104"/>
      <c r="G29" s="105"/>
      <c r="H29" s="47"/>
      <c r="I29" s="48"/>
      <c r="J29" s="106"/>
      <c r="K29" s="107"/>
      <c r="L29" s="108"/>
    </row>
    <row r="30" spans="1:12" s="43" customFormat="1" ht="18" customHeight="1" x14ac:dyDescent="0.25">
      <c r="A30" s="62"/>
      <c r="B30" s="103"/>
      <c r="C30" s="104"/>
      <c r="D30" s="104"/>
      <c r="E30" s="104"/>
      <c r="F30" s="104"/>
      <c r="G30" s="105"/>
      <c r="H30" s="47"/>
      <c r="I30" s="48"/>
      <c r="J30" s="106"/>
      <c r="K30" s="107"/>
      <c r="L30" s="107"/>
    </row>
    <row r="31" spans="1:12" s="43" customFormat="1" ht="18" customHeight="1" x14ac:dyDescent="0.25">
      <c r="A31" s="63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</row>
    <row r="32" spans="1:12" s="43" customFormat="1" ht="18" customHeight="1" x14ac:dyDescent="0.25">
      <c r="A32" s="116" t="s">
        <v>64</v>
      </c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</row>
    <row r="33" spans="1:12" s="43" customFormat="1" ht="18" customHeight="1" x14ac:dyDescent="0.25">
      <c r="A33" s="61" t="s">
        <v>65</v>
      </c>
      <c r="B33" s="117" t="s">
        <v>66</v>
      </c>
      <c r="C33" s="117"/>
      <c r="D33" s="117"/>
      <c r="E33" s="117"/>
      <c r="F33" s="117"/>
      <c r="G33" s="117"/>
      <c r="H33" s="117"/>
      <c r="I33" s="46" t="s">
        <v>283</v>
      </c>
      <c r="J33" s="117" t="s">
        <v>63</v>
      </c>
      <c r="K33" s="117"/>
      <c r="L33" s="117"/>
    </row>
    <row r="34" spans="1:12" s="43" customFormat="1" ht="36" customHeight="1" x14ac:dyDescent="0.25">
      <c r="A34" s="59" t="s">
        <v>37</v>
      </c>
      <c r="B34" s="118"/>
      <c r="C34" s="119"/>
      <c r="D34" s="119"/>
      <c r="E34" s="119"/>
      <c r="F34" s="119"/>
      <c r="G34" s="119"/>
      <c r="H34" s="120"/>
      <c r="I34" s="49"/>
      <c r="J34" s="112"/>
      <c r="K34" s="113"/>
      <c r="L34" s="114"/>
    </row>
  </sheetData>
  <autoFilter ref="A12:L12" xr:uid="{56A1EF49-3F48-42EF-B902-DC500932F173}"/>
  <mergeCells count="44">
    <mergeCell ref="J34:L34"/>
    <mergeCell ref="A32:L32"/>
    <mergeCell ref="B33:H33"/>
    <mergeCell ref="J33:L33"/>
    <mergeCell ref="B34:H34"/>
    <mergeCell ref="A21:B21"/>
    <mergeCell ref="B29:G29"/>
    <mergeCell ref="J29:L29"/>
    <mergeCell ref="B30:G30"/>
    <mergeCell ref="J30:L30"/>
    <mergeCell ref="B25:J25"/>
    <mergeCell ref="K25:L25"/>
    <mergeCell ref="A26:K26"/>
    <mergeCell ref="A27:K27"/>
    <mergeCell ref="B28:G28"/>
    <mergeCell ref="J28:L28"/>
    <mergeCell ref="A24:L24"/>
    <mergeCell ref="A22:L22"/>
    <mergeCell ref="A23:K23"/>
    <mergeCell ref="A6:I6"/>
    <mergeCell ref="J6:L6"/>
    <mergeCell ref="A7:L7"/>
    <mergeCell ref="A8:L8"/>
    <mergeCell ref="A19:L19"/>
    <mergeCell ref="A20:L20"/>
    <mergeCell ref="A9:A11"/>
    <mergeCell ref="F9:L9"/>
    <mergeCell ref="G10:H10"/>
    <mergeCell ref="I10:J10"/>
    <mergeCell ref="K10:K11"/>
    <mergeCell ref="L10:L11"/>
    <mergeCell ref="B9:E10"/>
    <mergeCell ref="A13:L13"/>
    <mergeCell ref="A14:L14"/>
    <mergeCell ref="A15:L15"/>
    <mergeCell ref="A16:L16"/>
    <mergeCell ref="A17:L17"/>
    <mergeCell ref="A18:L18"/>
    <mergeCell ref="A1:L1"/>
    <mergeCell ref="A2:L2"/>
    <mergeCell ref="A3:L3"/>
    <mergeCell ref="A4:L4"/>
    <mergeCell ref="A5:I5"/>
    <mergeCell ref="J5:L5"/>
  </mergeCells>
  <phoneticPr fontId="35" type="noConversion"/>
  <printOptions horizontalCentered="1"/>
  <pageMargins left="0.39370078740157483" right="0.39370078740157483" top="1.1811023622047245" bottom="0.39370078740157483" header="0.31496062992125984" footer="0.31496062992125984"/>
  <pageSetup paperSize="9" scale="6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3"/>
  <sheetViews>
    <sheetView zoomScale="90" zoomScaleNormal="90" workbookViewId="0">
      <pane ySplit="3" topLeftCell="A4" activePane="bottomLeft" state="frozenSplit"/>
      <selection pane="bottomLeft" activeCell="B35" sqref="B35"/>
    </sheetView>
  </sheetViews>
  <sheetFormatPr defaultRowHeight="1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58" customWidth="1"/>
    <col min="14" max="20" width="8.7109375" style="6" customWidth="1"/>
    <col min="21" max="21" width="30" style="6" customWidth="1"/>
  </cols>
  <sheetData>
    <row r="1" spans="1:21" s="24" customFormat="1" ht="30" customHeight="1" x14ac:dyDescent="0.25">
      <c r="A1" s="123" t="s">
        <v>308</v>
      </c>
      <c r="B1" s="124"/>
      <c r="C1" s="125"/>
      <c r="D1" s="121" t="s">
        <v>307</v>
      </c>
      <c r="E1" s="122"/>
      <c r="F1" s="121"/>
      <c r="G1" s="131" t="s">
        <v>288</v>
      </c>
      <c r="H1" s="131"/>
      <c r="I1" s="131"/>
      <c r="J1" s="131"/>
      <c r="K1" s="131"/>
      <c r="L1" s="131"/>
      <c r="M1" s="131"/>
      <c r="N1" s="126" t="s">
        <v>287</v>
      </c>
      <c r="O1" s="126"/>
      <c r="P1" s="126"/>
      <c r="Q1" s="126"/>
      <c r="R1" s="126"/>
      <c r="S1" s="126"/>
      <c r="T1" s="126"/>
      <c r="U1" s="126" t="s">
        <v>18</v>
      </c>
    </row>
    <row r="2" spans="1:21" s="24" customFormat="1" ht="30" customHeight="1" x14ac:dyDescent="0.25">
      <c r="A2" s="121" t="s">
        <v>29</v>
      </c>
      <c r="B2" s="127" t="s">
        <v>25</v>
      </c>
      <c r="C2" s="121" t="s">
        <v>26</v>
      </c>
      <c r="D2" s="128" t="s">
        <v>28</v>
      </c>
      <c r="E2" s="129" t="s">
        <v>27</v>
      </c>
      <c r="F2" s="129" t="s">
        <v>62</v>
      </c>
      <c r="G2" s="54"/>
      <c r="H2" s="131" t="s">
        <v>12</v>
      </c>
      <c r="I2" s="131"/>
      <c r="J2" s="132" t="s">
        <v>284</v>
      </c>
      <c r="K2" s="131"/>
      <c r="L2" s="54"/>
      <c r="M2" s="54"/>
      <c r="N2" s="55"/>
      <c r="O2" s="126" t="s">
        <v>12</v>
      </c>
      <c r="P2" s="126"/>
      <c r="Q2" s="130" t="s">
        <v>284</v>
      </c>
      <c r="R2" s="126"/>
      <c r="S2" s="55"/>
      <c r="T2" s="55"/>
      <c r="U2" s="126"/>
    </row>
    <row r="3" spans="1:21" s="4" customFormat="1" ht="80.099999999999994" customHeight="1" x14ac:dyDescent="0.25">
      <c r="A3" s="121"/>
      <c r="B3" s="127"/>
      <c r="C3" s="121"/>
      <c r="D3" s="128"/>
      <c r="E3" s="129"/>
      <c r="F3" s="129"/>
      <c r="G3" s="56" t="s">
        <v>10</v>
      </c>
      <c r="H3" s="56" t="s">
        <v>9</v>
      </c>
      <c r="I3" s="56" t="s">
        <v>11</v>
      </c>
      <c r="J3" s="56" t="s">
        <v>285</v>
      </c>
      <c r="K3" s="56" t="s">
        <v>286</v>
      </c>
      <c r="L3" s="56" t="s">
        <v>13</v>
      </c>
      <c r="M3" s="56" t="s">
        <v>14</v>
      </c>
      <c r="N3" s="57" t="s">
        <v>10</v>
      </c>
      <c r="O3" s="57" t="s">
        <v>9</v>
      </c>
      <c r="P3" s="57" t="s">
        <v>11</v>
      </c>
      <c r="Q3" s="57" t="s">
        <v>285</v>
      </c>
      <c r="R3" s="57" t="s">
        <v>286</v>
      </c>
      <c r="S3" s="57" t="s">
        <v>13</v>
      </c>
      <c r="T3" s="57" t="s">
        <v>14</v>
      </c>
      <c r="U3" s="126"/>
    </row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2">
      <formula>AND(N1=0,N1&lt;&gt;"")</formula>
    </cfRule>
  </conditionalFormatting>
  <conditionalFormatting sqref="G4:M1048576">
    <cfRule type="expression" dxfId="2" priority="4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94"/>
  <sheetViews>
    <sheetView topLeftCell="A13" workbookViewId="0">
      <selection activeCell="B30" sqref="B30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134</v>
      </c>
      <c r="C1" s="17" t="s">
        <v>132</v>
      </c>
      <c r="D1" s="17" t="s">
        <v>133</v>
      </c>
      <c r="E1" s="18" t="s">
        <v>135</v>
      </c>
      <c r="F1" s="19">
        <v>0.08</v>
      </c>
    </row>
    <row r="2" spans="1:6" ht="30" customHeight="1" x14ac:dyDescent="0.25">
      <c r="A2" s="16" t="s">
        <v>82</v>
      </c>
      <c r="B2" s="16" t="s">
        <v>78</v>
      </c>
      <c r="C2" s="14">
        <v>50</v>
      </c>
      <c r="D2" s="14">
        <f>C2*$F$1</f>
        <v>4</v>
      </c>
    </row>
    <row r="3" spans="1:6" ht="30" customHeight="1" x14ac:dyDescent="0.25">
      <c r="A3" s="16" t="s">
        <v>84</v>
      </c>
      <c r="B3" s="16" t="s">
        <v>78</v>
      </c>
      <c r="C3" s="14">
        <v>50</v>
      </c>
      <c r="D3" s="14">
        <f>C3*$F$1</f>
        <v>4</v>
      </c>
    </row>
    <row r="4" spans="1:6" ht="30" customHeight="1" x14ac:dyDescent="0.25">
      <c r="A4" s="16" t="s">
        <v>88</v>
      </c>
      <c r="B4" s="16" t="s">
        <v>78</v>
      </c>
      <c r="C4" s="14">
        <v>50</v>
      </c>
      <c r="D4" s="14">
        <f>C4*$F$1</f>
        <v>4</v>
      </c>
    </row>
    <row r="5" spans="1:6" ht="30" customHeight="1" x14ac:dyDescent="0.25">
      <c r="A5" s="16" t="s">
        <v>92</v>
      </c>
      <c r="B5" s="16" t="s">
        <v>78</v>
      </c>
      <c r="C5" s="14">
        <v>50</v>
      </c>
      <c r="D5" s="14">
        <f>C5*$F$1</f>
        <v>4</v>
      </c>
    </row>
    <row r="6" spans="1:6" ht="30" customHeight="1" x14ac:dyDescent="0.25">
      <c r="A6" s="16" t="s">
        <v>96</v>
      </c>
      <c r="B6" s="16" t="s">
        <v>78</v>
      </c>
      <c r="C6" s="14">
        <v>50</v>
      </c>
      <c r="D6" s="14">
        <v>0.17</v>
      </c>
    </row>
    <row r="7" spans="1:6" ht="30" customHeight="1" x14ac:dyDescent="0.25">
      <c r="A7" s="16" t="s">
        <v>99</v>
      </c>
      <c r="B7" s="16" t="s">
        <v>78</v>
      </c>
      <c r="C7" s="14">
        <v>50</v>
      </c>
      <c r="D7" s="21" t="s">
        <v>270</v>
      </c>
    </row>
    <row r="8" spans="1:6" ht="30" customHeight="1" x14ac:dyDescent="0.25">
      <c r="A8" s="16" t="s">
        <v>102</v>
      </c>
      <c r="B8" s="16" t="s">
        <v>78</v>
      </c>
      <c r="C8" s="14">
        <v>50</v>
      </c>
      <c r="D8" s="14">
        <v>0.17</v>
      </c>
    </row>
    <row r="9" spans="1:6" ht="30" customHeight="1" x14ac:dyDescent="0.25">
      <c r="A9" s="16" t="s">
        <v>106</v>
      </c>
      <c r="B9" s="16" t="s">
        <v>78</v>
      </c>
      <c r="C9" s="14">
        <v>50</v>
      </c>
      <c r="D9" s="14">
        <v>0.17</v>
      </c>
    </row>
    <row r="10" spans="1:6" ht="30" customHeight="1" x14ac:dyDescent="0.25">
      <c r="A10" s="16" t="s">
        <v>109</v>
      </c>
      <c r="B10" s="16" t="s">
        <v>78</v>
      </c>
      <c r="C10" s="14">
        <v>50</v>
      </c>
      <c r="D10" s="14">
        <v>0.17</v>
      </c>
      <c r="E10" s="22" t="s">
        <v>271</v>
      </c>
    </row>
    <row r="11" spans="1:6" ht="30" customHeight="1" x14ac:dyDescent="0.25">
      <c r="A11" s="16" t="s">
        <v>112</v>
      </c>
      <c r="B11" s="16" t="s">
        <v>78</v>
      </c>
      <c r="C11" s="14">
        <v>50</v>
      </c>
      <c r="D11" s="14">
        <v>0.17</v>
      </c>
    </row>
    <row r="12" spans="1:6" ht="30" customHeight="1" x14ac:dyDescent="0.25">
      <c r="A12" s="16" t="s">
        <v>115</v>
      </c>
      <c r="B12" s="16" t="s">
        <v>78</v>
      </c>
      <c r="C12" s="14">
        <v>50</v>
      </c>
      <c r="D12" s="14">
        <v>0.17</v>
      </c>
    </row>
    <row r="13" spans="1:6" ht="30" customHeight="1" x14ac:dyDescent="0.25">
      <c r="A13" s="16" t="s">
        <v>4</v>
      </c>
      <c r="B13" s="16" t="s">
        <v>79</v>
      </c>
      <c r="C13" s="14">
        <v>10</v>
      </c>
      <c r="D13" s="14">
        <v>0.08</v>
      </c>
    </row>
    <row r="14" spans="1:6" ht="30" customHeight="1" x14ac:dyDescent="0.25">
      <c r="A14" s="16" t="s">
        <v>85</v>
      </c>
      <c r="B14" s="16" t="s">
        <v>79</v>
      </c>
      <c r="C14" s="14">
        <v>10</v>
      </c>
      <c r="D14" s="14">
        <v>0.08</v>
      </c>
    </row>
    <row r="15" spans="1:6" ht="30" customHeight="1" x14ac:dyDescent="0.25">
      <c r="A15" s="16" t="s">
        <v>89</v>
      </c>
      <c r="B15" s="16" t="s">
        <v>79</v>
      </c>
      <c r="C15" s="14">
        <v>10</v>
      </c>
      <c r="D15" s="14">
        <v>0.08</v>
      </c>
    </row>
    <row r="16" spans="1:6" ht="30" customHeight="1" x14ac:dyDescent="0.25">
      <c r="A16" s="16" t="s">
        <v>93</v>
      </c>
      <c r="B16" s="16" t="s">
        <v>79</v>
      </c>
      <c r="C16" s="14">
        <v>10</v>
      </c>
      <c r="D16" s="14">
        <v>0.08</v>
      </c>
    </row>
    <row r="17" spans="1:4" ht="30" customHeight="1" x14ac:dyDescent="0.25">
      <c r="A17" s="16" t="s">
        <v>97</v>
      </c>
      <c r="B17" s="16" t="s">
        <v>79</v>
      </c>
      <c r="C17" s="14">
        <v>10</v>
      </c>
      <c r="D17" s="14">
        <v>0.08</v>
      </c>
    </row>
    <row r="18" spans="1:4" ht="30" customHeight="1" x14ac:dyDescent="0.25">
      <c r="A18" s="16" t="s">
        <v>70</v>
      </c>
      <c r="B18" s="16" t="s">
        <v>79</v>
      </c>
      <c r="C18" s="14">
        <v>10</v>
      </c>
      <c r="D18" s="14">
        <v>0.17</v>
      </c>
    </row>
    <row r="19" spans="1:4" ht="30" customHeight="1" x14ac:dyDescent="0.25">
      <c r="A19" s="16" t="s">
        <v>103</v>
      </c>
      <c r="B19" s="16" t="s">
        <v>79</v>
      </c>
      <c r="C19" s="14">
        <v>10</v>
      </c>
      <c r="D19" s="14">
        <v>0.17</v>
      </c>
    </row>
    <row r="20" spans="1:4" ht="30" customHeight="1" x14ac:dyDescent="0.25">
      <c r="A20" s="16" t="s">
        <v>107</v>
      </c>
      <c r="B20" s="16" t="s">
        <v>79</v>
      </c>
      <c r="C20" s="14">
        <v>10</v>
      </c>
      <c r="D20" s="14">
        <v>0.17</v>
      </c>
    </row>
    <row r="21" spans="1:4" ht="30" customHeight="1" x14ac:dyDescent="0.25">
      <c r="A21" s="16" t="s">
        <v>110</v>
      </c>
      <c r="B21" s="16" t="s">
        <v>79</v>
      </c>
      <c r="C21" s="14">
        <v>10</v>
      </c>
      <c r="D21" s="14">
        <v>0.17</v>
      </c>
    </row>
    <row r="22" spans="1:4" ht="30" customHeight="1" x14ac:dyDescent="0.25">
      <c r="A22" s="16" t="s">
        <v>113</v>
      </c>
      <c r="B22" s="16" t="s">
        <v>79</v>
      </c>
      <c r="C22" s="14">
        <v>10</v>
      </c>
      <c r="D22" s="14">
        <v>0.17</v>
      </c>
    </row>
    <row r="23" spans="1:4" ht="30" customHeight="1" x14ac:dyDescent="0.25">
      <c r="A23" s="16" t="s">
        <v>116</v>
      </c>
      <c r="B23" s="16" t="s">
        <v>79</v>
      </c>
      <c r="C23" s="14">
        <v>10</v>
      </c>
      <c r="D23" s="14">
        <v>0.08</v>
      </c>
    </row>
    <row r="24" spans="1:4" ht="30" customHeight="1" x14ac:dyDescent="0.25">
      <c r="A24" s="16" t="s">
        <v>118</v>
      </c>
      <c r="B24" s="16" t="s">
        <v>79</v>
      </c>
      <c r="C24" s="14">
        <v>10</v>
      </c>
      <c r="D24" s="14">
        <v>0.05</v>
      </c>
    </row>
    <row r="25" spans="1:4" ht="30" customHeight="1" x14ac:dyDescent="0.25">
      <c r="A25" s="16" t="s">
        <v>67</v>
      </c>
      <c r="B25" s="16" t="s">
        <v>81</v>
      </c>
      <c r="C25" s="14">
        <v>5</v>
      </c>
      <c r="D25" s="14">
        <v>0.17</v>
      </c>
    </row>
    <row r="26" spans="1:4" ht="30" customHeight="1" x14ac:dyDescent="0.25">
      <c r="A26" s="16" t="s">
        <v>87</v>
      </c>
      <c r="B26" s="16" t="s">
        <v>81</v>
      </c>
      <c r="C26" s="14">
        <v>5</v>
      </c>
      <c r="D26" s="14">
        <v>0.08</v>
      </c>
    </row>
    <row r="27" spans="1:4" ht="30" customHeight="1" x14ac:dyDescent="0.25">
      <c r="A27" s="16" t="s">
        <v>91</v>
      </c>
      <c r="B27" s="16" t="s">
        <v>81</v>
      </c>
      <c r="C27" s="14">
        <v>5</v>
      </c>
      <c r="D27" s="14">
        <v>0.08</v>
      </c>
    </row>
    <row r="28" spans="1:4" ht="30" customHeight="1" x14ac:dyDescent="0.25">
      <c r="A28" s="16" t="s">
        <v>95</v>
      </c>
      <c r="B28" s="16" t="s">
        <v>81</v>
      </c>
      <c r="C28" s="14">
        <v>5</v>
      </c>
      <c r="D28" s="14">
        <v>0.17</v>
      </c>
    </row>
    <row r="29" spans="1:4" ht="30" customHeight="1" x14ac:dyDescent="0.25">
      <c r="A29" s="16" t="s">
        <v>73</v>
      </c>
      <c r="B29" s="16" t="s">
        <v>81</v>
      </c>
      <c r="C29" s="14">
        <v>5</v>
      </c>
      <c r="D29" s="14">
        <v>0.08</v>
      </c>
    </row>
    <row r="30" spans="1:4" ht="30" customHeight="1" x14ac:dyDescent="0.25">
      <c r="A30" s="16" t="s">
        <v>101</v>
      </c>
      <c r="B30" s="16" t="s">
        <v>81</v>
      </c>
      <c r="C30" s="14">
        <v>5</v>
      </c>
      <c r="D30" s="14">
        <v>0.17</v>
      </c>
    </row>
    <row r="31" spans="1:4" ht="30" customHeight="1" x14ac:dyDescent="0.25">
      <c r="A31" s="16" t="s">
        <v>105</v>
      </c>
      <c r="B31" s="16" t="s">
        <v>81</v>
      </c>
      <c r="C31" s="14">
        <v>5</v>
      </c>
      <c r="D31" s="14">
        <v>0.08</v>
      </c>
    </row>
    <row r="32" spans="1:4" ht="30" customHeight="1" x14ac:dyDescent="0.25">
      <c r="A32" s="16" t="s">
        <v>83</v>
      </c>
      <c r="B32" s="16" t="s">
        <v>80</v>
      </c>
      <c r="C32" s="14">
        <v>1</v>
      </c>
      <c r="D32" s="14">
        <v>0.02</v>
      </c>
    </row>
    <row r="33" spans="1:4" ht="30" customHeight="1" x14ac:dyDescent="0.25">
      <c r="A33" s="16" t="s">
        <v>86</v>
      </c>
      <c r="B33" s="16" t="s">
        <v>80</v>
      </c>
      <c r="C33" s="14">
        <v>1</v>
      </c>
      <c r="D33" s="14">
        <v>0.02</v>
      </c>
    </row>
    <row r="34" spans="1:4" ht="30" customHeight="1" x14ac:dyDescent="0.25">
      <c r="A34" s="16" t="s">
        <v>90</v>
      </c>
      <c r="B34" s="16" t="s">
        <v>80</v>
      </c>
      <c r="C34" s="14">
        <v>1</v>
      </c>
      <c r="D34" s="14">
        <v>0.02</v>
      </c>
    </row>
    <row r="35" spans="1:4" ht="30" customHeight="1" x14ac:dyDescent="0.25">
      <c r="A35" s="16" t="s">
        <v>94</v>
      </c>
      <c r="B35" s="16" t="s">
        <v>80</v>
      </c>
      <c r="C35" s="14">
        <v>1</v>
      </c>
      <c r="D35" s="14">
        <v>0.02</v>
      </c>
    </row>
    <row r="36" spans="1:4" ht="30" customHeight="1" x14ac:dyDescent="0.25">
      <c r="A36" s="16" t="s">
        <v>98</v>
      </c>
      <c r="B36" s="16" t="s">
        <v>80</v>
      </c>
      <c r="C36" s="14">
        <v>1</v>
      </c>
      <c r="D36" s="14">
        <v>0.02</v>
      </c>
    </row>
    <row r="37" spans="1:4" ht="30" customHeight="1" x14ac:dyDescent="0.25">
      <c r="A37" s="16" t="s">
        <v>100</v>
      </c>
      <c r="B37" s="16" t="s">
        <v>80</v>
      </c>
      <c r="C37" s="14">
        <v>1</v>
      </c>
      <c r="D37" s="14">
        <v>0.02</v>
      </c>
    </row>
    <row r="38" spans="1:4" ht="30" customHeight="1" x14ac:dyDescent="0.25">
      <c r="A38" s="16" t="s">
        <v>104</v>
      </c>
      <c r="B38" s="16" t="s">
        <v>80</v>
      </c>
      <c r="C38" s="14">
        <v>1</v>
      </c>
      <c r="D38" s="14">
        <v>0.08</v>
      </c>
    </row>
    <row r="39" spans="1:4" ht="30" customHeight="1" x14ac:dyDescent="0.25">
      <c r="A39" s="16" t="s">
        <v>108</v>
      </c>
      <c r="B39" s="16" t="s">
        <v>80</v>
      </c>
      <c r="C39" s="14">
        <v>1</v>
      </c>
      <c r="D39" s="14">
        <v>0.08</v>
      </c>
    </row>
    <row r="40" spans="1:4" ht="30" customHeight="1" x14ac:dyDescent="0.25">
      <c r="A40" s="16" t="s">
        <v>111</v>
      </c>
      <c r="B40" s="16" t="s">
        <v>80</v>
      </c>
      <c r="C40" s="14">
        <v>1</v>
      </c>
      <c r="D40" s="14">
        <v>0.02</v>
      </c>
    </row>
    <row r="41" spans="1:4" ht="30" customHeight="1" x14ac:dyDescent="0.25">
      <c r="A41" s="16" t="s">
        <v>114</v>
      </c>
      <c r="B41" s="16" t="s">
        <v>80</v>
      </c>
      <c r="C41" s="14">
        <v>1</v>
      </c>
      <c r="D41" s="14">
        <v>0.02</v>
      </c>
    </row>
    <row r="42" spans="1:4" ht="30" customHeight="1" x14ac:dyDescent="0.25">
      <c r="A42" s="16" t="s">
        <v>117</v>
      </c>
      <c r="B42" s="16" t="s">
        <v>80</v>
      </c>
      <c r="C42" s="14">
        <v>1</v>
      </c>
      <c r="D42" s="14">
        <v>0.02</v>
      </c>
    </row>
    <row r="43" spans="1:4" ht="30" customHeight="1" x14ac:dyDescent="0.25">
      <c r="A43" s="16" t="s">
        <v>119</v>
      </c>
      <c r="B43" s="16" t="s">
        <v>80</v>
      </c>
      <c r="C43" s="14">
        <v>1</v>
      </c>
      <c r="D43" s="14">
        <v>0.08</v>
      </c>
    </row>
    <row r="44" spans="1:4" ht="30" customHeight="1" x14ac:dyDescent="0.25">
      <c r="A44" s="16" t="s">
        <v>120</v>
      </c>
      <c r="B44" s="16" t="s">
        <v>80</v>
      </c>
      <c r="C44" s="14">
        <v>1</v>
      </c>
      <c r="D44" s="14">
        <v>0.02</v>
      </c>
    </row>
    <row r="45" spans="1:4" ht="30" customHeight="1" x14ac:dyDescent="0.25">
      <c r="A45" s="16" t="s">
        <v>121</v>
      </c>
      <c r="B45" s="16" t="s">
        <v>80</v>
      </c>
      <c r="C45" s="14">
        <v>1</v>
      </c>
      <c r="D45" s="14">
        <v>0.02</v>
      </c>
    </row>
    <row r="46" spans="1:4" ht="30" customHeight="1" x14ac:dyDescent="0.25">
      <c r="A46" s="16" t="s">
        <v>122</v>
      </c>
      <c r="B46" s="16" t="s">
        <v>80</v>
      </c>
      <c r="C46" s="14">
        <v>1</v>
      </c>
      <c r="D46" s="14">
        <v>0.02</v>
      </c>
    </row>
    <row r="47" spans="1:4" ht="30" customHeight="1" x14ac:dyDescent="0.25">
      <c r="A47" s="16" t="s">
        <v>123</v>
      </c>
      <c r="B47" s="16" t="s">
        <v>80</v>
      </c>
      <c r="C47" s="14">
        <v>1</v>
      </c>
      <c r="D47" s="14">
        <v>0.02</v>
      </c>
    </row>
    <row r="48" spans="1:4" ht="30" customHeight="1" x14ac:dyDescent="0.25">
      <c r="A48" s="16" t="s">
        <v>124</v>
      </c>
      <c r="B48" s="16" t="s">
        <v>80</v>
      </c>
      <c r="C48" s="14">
        <v>1</v>
      </c>
      <c r="D48" s="14">
        <v>0.08</v>
      </c>
    </row>
    <row r="49" spans="1:4" ht="30" customHeight="1" x14ac:dyDescent="0.25">
      <c r="A49" s="16" t="s">
        <v>125</v>
      </c>
      <c r="B49" s="16" t="s">
        <v>80</v>
      </c>
      <c r="C49" s="14">
        <v>1</v>
      </c>
      <c r="D49" s="14">
        <f>C49*$F$1</f>
        <v>0.08</v>
      </c>
    </row>
    <row r="50" spans="1:4" ht="30" customHeight="1" x14ac:dyDescent="0.25">
      <c r="A50" s="16" t="s">
        <v>126</v>
      </c>
      <c r="B50" s="16" t="s">
        <v>80</v>
      </c>
      <c r="C50" s="14">
        <v>1</v>
      </c>
      <c r="D50" s="14">
        <v>0.08</v>
      </c>
    </row>
    <row r="51" spans="1:4" ht="30" customHeight="1" x14ac:dyDescent="0.25">
      <c r="A51" s="16" t="s">
        <v>127</v>
      </c>
      <c r="B51" s="16" t="s">
        <v>80</v>
      </c>
      <c r="C51" s="14">
        <v>1</v>
      </c>
      <c r="D51" s="14">
        <f>C51*$F$1</f>
        <v>0.08</v>
      </c>
    </row>
    <row r="52" spans="1:4" ht="30" customHeight="1" x14ac:dyDescent="0.25">
      <c r="A52" s="16" t="s">
        <v>128</v>
      </c>
      <c r="B52" s="16" t="s">
        <v>80</v>
      </c>
      <c r="C52" s="14">
        <v>1</v>
      </c>
      <c r="D52" s="14">
        <v>0.02</v>
      </c>
    </row>
    <row r="53" spans="1:4" ht="30" customHeight="1" x14ac:dyDescent="0.25">
      <c r="A53" s="16" t="s">
        <v>72</v>
      </c>
      <c r="B53" s="16" t="s">
        <v>80</v>
      </c>
      <c r="C53" s="14">
        <v>1</v>
      </c>
      <c r="D53" s="14">
        <v>0.02</v>
      </c>
    </row>
    <row r="54" spans="1:4" ht="30" customHeight="1" x14ac:dyDescent="0.25">
      <c r="A54" s="16" t="s">
        <v>129</v>
      </c>
      <c r="B54" s="16" t="s">
        <v>80</v>
      </c>
      <c r="C54" s="14">
        <v>1</v>
      </c>
      <c r="D54" s="14">
        <f>C54*$F$1</f>
        <v>0.08</v>
      </c>
    </row>
    <row r="55" spans="1:4" ht="30" customHeight="1" x14ac:dyDescent="0.25">
      <c r="A55" s="16" t="s">
        <v>69</v>
      </c>
      <c r="B55" s="16" t="s">
        <v>80</v>
      </c>
      <c r="C55" s="14">
        <v>1</v>
      </c>
      <c r="D55" s="14">
        <v>0.02</v>
      </c>
    </row>
    <row r="56" spans="1:4" ht="30" customHeight="1" x14ac:dyDescent="0.25">
      <c r="A56" s="16" t="s">
        <v>130</v>
      </c>
      <c r="B56" s="16" t="s">
        <v>80</v>
      </c>
      <c r="C56" s="14">
        <v>1</v>
      </c>
      <c r="D56" s="14">
        <v>0.02</v>
      </c>
    </row>
    <row r="57" spans="1:4" ht="30" customHeight="1" x14ac:dyDescent="0.25">
      <c r="A57" s="16" t="s">
        <v>74</v>
      </c>
      <c r="B57" s="16" t="s">
        <v>80</v>
      </c>
      <c r="C57" s="14">
        <v>1</v>
      </c>
      <c r="D57" s="14">
        <f>C57*$F$1</f>
        <v>0.08</v>
      </c>
    </row>
    <row r="58" spans="1:4" ht="30" customHeight="1" x14ac:dyDescent="0.25">
      <c r="A58" s="16" t="s">
        <v>131</v>
      </c>
      <c r="B58" s="16" t="s">
        <v>80</v>
      </c>
      <c r="C58" s="14">
        <v>1</v>
      </c>
      <c r="D58" s="14">
        <v>0.02</v>
      </c>
    </row>
    <row r="59" spans="1:4" ht="30" customHeight="1" x14ac:dyDescent="0.25">
      <c r="A59" s="16" t="s">
        <v>136</v>
      </c>
      <c r="B59" s="16" t="s">
        <v>80</v>
      </c>
      <c r="C59" s="14">
        <v>1</v>
      </c>
      <c r="D59" s="14">
        <v>0.02</v>
      </c>
    </row>
    <row r="60" spans="1:4" ht="30" customHeight="1" x14ac:dyDescent="0.25">
      <c r="A60" s="16" t="s">
        <v>137</v>
      </c>
      <c r="B60" s="16" t="s">
        <v>80</v>
      </c>
      <c r="C60" s="14">
        <v>1</v>
      </c>
      <c r="D60" s="14">
        <v>0.02</v>
      </c>
    </row>
    <row r="61" spans="1:4" ht="30" customHeight="1" x14ac:dyDescent="0.25">
      <c r="A61" s="16" t="s">
        <v>138</v>
      </c>
      <c r="B61" s="16" t="s">
        <v>80</v>
      </c>
      <c r="C61" s="14">
        <v>1</v>
      </c>
      <c r="D61" s="14">
        <f>C61*$F$1</f>
        <v>0.08</v>
      </c>
    </row>
    <row r="62" spans="1:4" ht="30" customHeight="1" x14ac:dyDescent="0.25">
      <c r="A62" s="16" t="s">
        <v>139</v>
      </c>
      <c r="B62" s="16" t="s">
        <v>80</v>
      </c>
      <c r="C62" s="14">
        <v>1</v>
      </c>
      <c r="D62" s="14">
        <f>C62*$F$1</f>
        <v>0.08</v>
      </c>
    </row>
    <row r="63" spans="1:4" ht="30" customHeight="1" x14ac:dyDescent="0.25">
      <c r="A63" s="16" t="s">
        <v>140</v>
      </c>
      <c r="B63" s="16" t="s">
        <v>80</v>
      </c>
      <c r="C63" s="14">
        <v>1</v>
      </c>
      <c r="D63" s="14">
        <f>C63*$F$1</f>
        <v>0.08</v>
      </c>
    </row>
    <row r="64" spans="1:4" ht="30" customHeight="1" x14ac:dyDescent="0.25">
      <c r="A64" s="16" t="s">
        <v>141</v>
      </c>
      <c r="B64" s="16" t="s">
        <v>80</v>
      </c>
      <c r="C64" s="14">
        <v>1</v>
      </c>
      <c r="D64" s="14">
        <v>0.17</v>
      </c>
    </row>
    <row r="65" spans="1:4" ht="30" customHeight="1" x14ac:dyDescent="0.25">
      <c r="A65" s="16" t="s">
        <v>142</v>
      </c>
      <c r="B65" s="16" t="s">
        <v>80</v>
      </c>
      <c r="C65" s="14">
        <v>1</v>
      </c>
      <c r="D65" s="14">
        <v>0.02</v>
      </c>
    </row>
    <row r="66" spans="1:4" ht="30" customHeight="1" x14ac:dyDescent="0.25">
      <c r="A66" s="16" t="s">
        <v>143</v>
      </c>
      <c r="B66" s="16" t="s">
        <v>80</v>
      </c>
      <c r="C66" s="14">
        <v>1</v>
      </c>
      <c r="D66" s="14">
        <f>C66*$F$1</f>
        <v>0.08</v>
      </c>
    </row>
    <row r="67" spans="1:4" ht="30" customHeight="1" x14ac:dyDescent="0.25">
      <c r="A67" s="16" t="s">
        <v>144</v>
      </c>
      <c r="B67" s="16" t="s">
        <v>81</v>
      </c>
      <c r="C67" s="14">
        <v>5</v>
      </c>
      <c r="D67" s="14">
        <v>4</v>
      </c>
    </row>
    <row r="68" spans="1:4" ht="30" customHeight="1" x14ac:dyDescent="0.25">
      <c r="A68" s="16" t="s">
        <v>145</v>
      </c>
      <c r="B68" s="16" t="s">
        <v>78</v>
      </c>
      <c r="C68" s="14">
        <v>50</v>
      </c>
      <c r="D68" s="14">
        <f>C68*$F$1</f>
        <v>4</v>
      </c>
    </row>
    <row r="69" spans="1:4" ht="30" customHeight="1" x14ac:dyDescent="0.25">
      <c r="A69" s="16" t="s">
        <v>146</v>
      </c>
      <c r="B69" s="16" t="s">
        <v>78</v>
      </c>
      <c r="C69" s="14">
        <v>50</v>
      </c>
      <c r="D69" s="14">
        <f>C69*$F$1</f>
        <v>4</v>
      </c>
    </row>
    <row r="70" spans="1:4" ht="30" customHeight="1" x14ac:dyDescent="0.25">
      <c r="A70" s="16" t="s">
        <v>147</v>
      </c>
      <c r="B70" s="20" t="s">
        <v>148</v>
      </c>
      <c r="C70" s="14">
        <v>25</v>
      </c>
      <c r="D70" s="14">
        <v>0.42</v>
      </c>
    </row>
    <row r="71" spans="1:4" ht="30" customHeight="1" x14ac:dyDescent="0.25">
      <c r="A71" s="16" t="s">
        <v>149</v>
      </c>
      <c r="B71" s="20" t="s">
        <v>150</v>
      </c>
      <c r="C71" s="14">
        <v>15</v>
      </c>
      <c r="D71" s="14">
        <v>0.08</v>
      </c>
    </row>
    <row r="72" spans="1:4" ht="30" customHeight="1" x14ac:dyDescent="0.25">
      <c r="A72" s="16" t="s">
        <v>152</v>
      </c>
      <c r="B72" s="16" t="s">
        <v>80</v>
      </c>
      <c r="C72" s="14">
        <v>1</v>
      </c>
      <c r="D72" s="14">
        <v>0.02</v>
      </c>
    </row>
    <row r="73" spans="1:4" ht="30" customHeight="1" x14ac:dyDescent="0.25">
      <c r="A73" s="5" t="s">
        <v>153</v>
      </c>
      <c r="B73" s="16" t="s">
        <v>80</v>
      </c>
      <c r="C73" s="14">
        <v>1</v>
      </c>
      <c r="D73" s="14">
        <v>0.02</v>
      </c>
    </row>
    <row r="74" spans="1:4" ht="30" customHeight="1" x14ac:dyDescent="0.25">
      <c r="A74" s="5" t="s">
        <v>207</v>
      </c>
      <c r="D74" s="14">
        <v>0.17</v>
      </c>
    </row>
    <row r="75" spans="1:4" ht="30" customHeight="1" x14ac:dyDescent="0.25">
      <c r="A75" s="5" t="s">
        <v>208</v>
      </c>
      <c r="B75" s="16" t="s">
        <v>80</v>
      </c>
      <c r="C75" s="14">
        <v>1</v>
      </c>
      <c r="D75" s="14">
        <v>0.17</v>
      </c>
    </row>
    <row r="76" spans="1:4" ht="30" customHeight="1" x14ac:dyDescent="0.25">
      <c r="A76" s="5" t="s">
        <v>232</v>
      </c>
      <c r="B76" s="16" t="s">
        <v>80</v>
      </c>
      <c r="C76" s="14">
        <v>1</v>
      </c>
      <c r="D76" s="14">
        <f>C76*$F$1</f>
        <v>0.08</v>
      </c>
    </row>
    <row r="77" spans="1:4" ht="30" customHeight="1" x14ac:dyDescent="0.25">
      <c r="A77" s="5" t="s">
        <v>233</v>
      </c>
      <c r="B77" s="16" t="s">
        <v>80</v>
      </c>
      <c r="C77" s="14">
        <v>1</v>
      </c>
      <c r="D77" s="14">
        <v>0.17</v>
      </c>
    </row>
    <row r="78" spans="1:4" ht="30" customHeight="1" x14ac:dyDescent="0.25">
      <c r="A78" s="5" t="s">
        <v>234</v>
      </c>
      <c r="D78" s="14">
        <v>0.17</v>
      </c>
    </row>
    <row r="79" spans="1:4" ht="30" customHeight="1" x14ac:dyDescent="0.25">
      <c r="A79" s="5" t="s">
        <v>235</v>
      </c>
      <c r="D79" s="14">
        <v>0.17</v>
      </c>
    </row>
    <row r="80" spans="1:4" ht="30" customHeight="1" x14ac:dyDescent="0.25">
      <c r="A80" s="5" t="s">
        <v>154</v>
      </c>
      <c r="D80" s="14">
        <v>0.02</v>
      </c>
    </row>
    <row r="81" spans="1:4" ht="30" customHeight="1" x14ac:dyDescent="0.25">
      <c r="A81" s="5" t="s">
        <v>155</v>
      </c>
      <c r="D81" s="14">
        <f>C81*$F$1</f>
        <v>0</v>
      </c>
    </row>
    <row r="82" spans="1:4" ht="30" customHeight="1" x14ac:dyDescent="0.25">
      <c r="A82" s="5" t="s">
        <v>156</v>
      </c>
      <c r="D82" s="14">
        <f>C82*$F$1</f>
        <v>0</v>
      </c>
    </row>
    <row r="83" spans="1:4" ht="30" customHeight="1" x14ac:dyDescent="0.25">
      <c r="A83" s="5" t="s">
        <v>157</v>
      </c>
      <c r="D83" s="14">
        <v>0.02</v>
      </c>
    </row>
    <row r="84" spans="1:4" ht="30" customHeight="1" x14ac:dyDescent="0.25">
      <c r="A84" s="5" t="s">
        <v>158</v>
      </c>
    </row>
    <row r="85" spans="1:4" ht="30" customHeight="1" x14ac:dyDescent="0.25">
      <c r="A85" s="5" t="s">
        <v>209</v>
      </c>
    </row>
    <row r="86" spans="1:4" ht="30" customHeight="1" x14ac:dyDescent="0.25">
      <c r="A86" s="5" t="s">
        <v>210</v>
      </c>
    </row>
    <row r="87" spans="1:4" ht="30" customHeight="1" x14ac:dyDescent="0.25">
      <c r="A87" s="5" t="s">
        <v>159</v>
      </c>
    </row>
    <row r="88" spans="1:4" ht="30" customHeight="1" x14ac:dyDescent="0.25">
      <c r="A88" s="5" t="s">
        <v>236</v>
      </c>
    </row>
    <row r="89" spans="1:4" ht="30" customHeight="1" x14ac:dyDescent="0.25">
      <c r="A89" s="5" t="s">
        <v>237</v>
      </c>
    </row>
    <row r="90" spans="1:4" ht="30" customHeight="1" x14ac:dyDescent="0.25">
      <c r="A90" s="5" t="s">
        <v>160</v>
      </c>
    </row>
    <row r="91" spans="1:4" ht="30" customHeight="1" x14ac:dyDescent="0.25">
      <c r="A91" s="5" t="s">
        <v>161</v>
      </c>
    </row>
    <row r="92" spans="1:4" ht="30" customHeight="1" x14ac:dyDescent="0.25">
      <c r="A92" s="5" t="s">
        <v>162</v>
      </c>
    </row>
    <row r="93" spans="1:4" ht="30" customHeight="1" x14ac:dyDescent="0.25">
      <c r="A93" s="5" t="s">
        <v>225</v>
      </c>
    </row>
    <row r="94" spans="1:4" ht="30" customHeight="1" x14ac:dyDescent="0.25">
      <c r="A94" s="5" t="s">
        <v>163</v>
      </c>
    </row>
    <row r="95" spans="1:4" ht="30" customHeight="1" x14ac:dyDescent="0.25">
      <c r="A95" s="5" t="s">
        <v>164</v>
      </c>
    </row>
    <row r="96" spans="1:4" ht="30" customHeight="1" x14ac:dyDescent="0.25">
      <c r="A96" s="5" t="s">
        <v>198</v>
      </c>
    </row>
    <row r="97" spans="1:1" ht="30" customHeight="1" x14ac:dyDescent="0.25">
      <c r="A97" s="5" t="s">
        <v>165</v>
      </c>
    </row>
    <row r="98" spans="1:1" ht="30" customHeight="1" x14ac:dyDescent="0.25">
      <c r="A98" s="5" t="s">
        <v>166</v>
      </c>
    </row>
    <row r="99" spans="1:1" ht="30" customHeight="1" x14ac:dyDescent="0.25">
      <c r="A99" s="5" t="s">
        <v>167</v>
      </c>
    </row>
    <row r="100" spans="1:1" ht="30" customHeight="1" x14ac:dyDescent="0.25">
      <c r="A100" s="5" t="s">
        <v>168</v>
      </c>
    </row>
    <row r="101" spans="1:1" ht="30" customHeight="1" x14ac:dyDescent="0.25">
      <c r="A101" s="5" t="s">
        <v>169</v>
      </c>
    </row>
    <row r="102" spans="1:1" ht="30" customHeight="1" x14ac:dyDescent="0.25">
      <c r="A102" s="5" t="s">
        <v>238</v>
      </c>
    </row>
    <row r="103" spans="1:1" ht="30" customHeight="1" x14ac:dyDescent="0.25">
      <c r="A103" s="5" t="s">
        <v>170</v>
      </c>
    </row>
    <row r="104" spans="1:1" ht="30" customHeight="1" x14ac:dyDescent="0.25">
      <c r="A104" s="5" t="s">
        <v>171</v>
      </c>
    </row>
    <row r="105" spans="1:1" ht="30" customHeight="1" x14ac:dyDescent="0.25">
      <c r="A105" s="5" t="s">
        <v>255</v>
      </c>
    </row>
    <row r="106" spans="1:1" ht="30" customHeight="1" x14ac:dyDescent="0.25">
      <c r="A106" s="5" t="s">
        <v>256</v>
      </c>
    </row>
    <row r="107" spans="1:1" ht="30" customHeight="1" x14ac:dyDescent="0.25">
      <c r="A107" s="5" t="s">
        <v>172</v>
      </c>
    </row>
    <row r="108" spans="1:1" ht="30" customHeight="1" x14ac:dyDescent="0.25">
      <c r="A108" s="5" t="s">
        <v>173</v>
      </c>
    </row>
    <row r="109" spans="1:1" ht="30" customHeight="1" x14ac:dyDescent="0.25">
      <c r="A109" s="5" t="s">
        <v>257</v>
      </c>
    </row>
    <row r="110" spans="1:1" ht="30" customHeight="1" x14ac:dyDescent="0.25">
      <c r="A110" s="5" t="s">
        <v>258</v>
      </c>
    </row>
    <row r="111" spans="1:1" ht="30" customHeight="1" x14ac:dyDescent="0.25">
      <c r="A111" s="5" t="s">
        <v>174</v>
      </c>
    </row>
    <row r="112" spans="1:1" ht="30" customHeight="1" x14ac:dyDescent="0.25">
      <c r="A112" s="5" t="s">
        <v>259</v>
      </c>
    </row>
    <row r="113" spans="1:1" ht="30" customHeight="1" x14ac:dyDescent="0.25">
      <c r="A113" s="5" t="s">
        <v>260</v>
      </c>
    </row>
    <row r="114" spans="1:1" ht="30" customHeight="1" x14ac:dyDescent="0.25">
      <c r="A114" s="5" t="s">
        <v>261</v>
      </c>
    </row>
    <row r="115" spans="1:1" ht="30" customHeight="1" x14ac:dyDescent="0.25">
      <c r="A115" s="5" t="s">
        <v>249</v>
      </c>
    </row>
    <row r="116" spans="1:1" ht="30" customHeight="1" x14ac:dyDescent="0.25">
      <c r="A116" s="5" t="s">
        <v>175</v>
      </c>
    </row>
    <row r="117" spans="1:1" ht="30" customHeight="1" x14ac:dyDescent="0.25">
      <c r="A117" s="5" t="s">
        <v>176</v>
      </c>
    </row>
    <row r="118" spans="1:1" ht="30" customHeight="1" x14ac:dyDescent="0.25">
      <c r="A118" s="5" t="s">
        <v>244</v>
      </c>
    </row>
    <row r="119" spans="1:1" ht="30" customHeight="1" x14ac:dyDescent="0.25">
      <c r="A119" s="5" t="s">
        <v>241</v>
      </c>
    </row>
    <row r="120" spans="1:1" ht="30" customHeight="1" x14ac:dyDescent="0.25">
      <c r="A120" s="5" t="s">
        <v>75</v>
      </c>
    </row>
    <row r="121" spans="1:1" ht="30" customHeight="1" x14ac:dyDescent="0.25">
      <c r="A121" s="5" t="s">
        <v>68</v>
      </c>
    </row>
    <row r="122" spans="1:1" ht="30" customHeight="1" x14ac:dyDescent="0.25">
      <c r="A122" s="5" t="s">
        <v>268</v>
      </c>
    </row>
    <row r="123" spans="1:1" ht="30" customHeight="1" x14ac:dyDescent="0.25">
      <c r="A123" s="5" t="s">
        <v>177</v>
      </c>
    </row>
    <row r="124" spans="1:1" ht="30" customHeight="1" x14ac:dyDescent="0.25">
      <c r="A124" s="5" t="s">
        <v>178</v>
      </c>
    </row>
    <row r="125" spans="1:1" ht="30" customHeight="1" x14ac:dyDescent="0.25">
      <c r="A125" s="5" t="s">
        <v>179</v>
      </c>
    </row>
    <row r="126" spans="1:1" ht="30" customHeight="1" x14ac:dyDescent="0.25">
      <c r="A126" s="5" t="s">
        <v>180</v>
      </c>
    </row>
    <row r="127" spans="1:1" ht="30" customHeight="1" x14ac:dyDescent="0.25">
      <c r="A127" s="5" t="s">
        <v>181</v>
      </c>
    </row>
    <row r="128" spans="1:1" ht="30" customHeight="1" x14ac:dyDescent="0.25">
      <c r="A128" s="5" t="s">
        <v>267</v>
      </c>
    </row>
    <row r="129" spans="1:1" ht="30" customHeight="1" x14ac:dyDescent="0.25">
      <c r="A129" s="5" t="s">
        <v>266</v>
      </c>
    </row>
    <row r="130" spans="1:1" ht="30" customHeight="1" x14ac:dyDescent="0.25">
      <c r="A130" s="5" t="s">
        <v>265</v>
      </c>
    </row>
    <row r="131" spans="1:1" ht="30" customHeight="1" x14ac:dyDescent="0.25">
      <c r="A131" s="5" t="s">
        <v>71</v>
      </c>
    </row>
    <row r="132" spans="1:1" ht="30" customHeight="1" x14ac:dyDescent="0.25">
      <c r="A132" s="5" t="s">
        <v>264</v>
      </c>
    </row>
    <row r="133" spans="1:1" ht="30" customHeight="1" x14ac:dyDescent="0.25">
      <c r="A133" s="5" t="s">
        <v>263</v>
      </c>
    </row>
    <row r="134" spans="1:1" ht="30" customHeight="1" x14ac:dyDescent="0.25">
      <c r="A134" s="5" t="s">
        <v>182</v>
      </c>
    </row>
    <row r="135" spans="1:1" ht="30" customHeight="1" x14ac:dyDescent="0.25">
      <c r="A135" s="5" t="s">
        <v>183</v>
      </c>
    </row>
    <row r="136" spans="1:1" ht="30" customHeight="1" x14ac:dyDescent="0.25">
      <c r="A136" s="5" t="s">
        <v>184</v>
      </c>
    </row>
    <row r="137" spans="1:1" ht="30" customHeight="1" x14ac:dyDescent="0.25">
      <c r="A137" s="5" t="s">
        <v>185</v>
      </c>
    </row>
    <row r="138" spans="1:1" ht="30" customHeight="1" x14ac:dyDescent="0.25">
      <c r="A138" s="5" t="s">
        <v>186</v>
      </c>
    </row>
    <row r="139" spans="1:1" ht="30" customHeight="1" x14ac:dyDescent="0.25">
      <c r="A139" s="5" t="s">
        <v>262</v>
      </c>
    </row>
    <row r="140" spans="1:1" ht="30" customHeight="1" x14ac:dyDescent="0.25">
      <c r="A140" s="5" t="s">
        <v>187</v>
      </c>
    </row>
    <row r="141" spans="1:1" ht="30" customHeight="1" x14ac:dyDescent="0.25">
      <c r="A141" s="5" t="s">
        <v>188</v>
      </c>
    </row>
    <row r="142" spans="1:1" ht="30" customHeight="1" x14ac:dyDescent="0.25">
      <c r="A142" s="5" t="s">
        <v>189</v>
      </c>
    </row>
    <row r="143" spans="1:1" ht="30" customHeight="1" x14ac:dyDescent="0.25">
      <c r="A143" s="5" t="s">
        <v>252</v>
      </c>
    </row>
    <row r="144" spans="1:1" ht="30" customHeight="1" x14ac:dyDescent="0.25">
      <c r="A144" s="5" t="s">
        <v>190</v>
      </c>
    </row>
    <row r="145" spans="1:1" ht="30" customHeight="1" x14ac:dyDescent="0.25">
      <c r="A145" s="5" t="s">
        <v>191</v>
      </c>
    </row>
    <row r="146" spans="1:1" ht="30" customHeight="1" x14ac:dyDescent="0.25">
      <c r="A146" s="5" t="s">
        <v>192</v>
      </c>
    </row>
    <row r="147" spans="1:1" ht="30" customHeight="1" x14ac:dyDescent="0.25">
      <c r="A147" s="5" t="s">
        <v>253</v>
      </c>
    </row>
    <row r="148" spans="1:1" ht="30" customHeight="1" x14ac:dyDescent="0.25">
      <c r="A148" s="5" t="s">
        <v>254</v>
      </c>
    </row>
    <row r="149" spans="1:1" ht="30" customHeight="1" x14ac:dyDescent="0.25">
      <c r="A149" s="5" t="s">
        <v>76</v>
      </c>
    </row>
    <row r="150" spans="1:1" ht="30" customHeight="1" x14ac:dyDescent="0.25">
      <c r="A150" s="5" t="s">
        <v>251</v>
      </c>
    </row>
    <row r="151" spans="1:1" ht="30" customHeight="1" x14ac:dyDescent="0.25">
      <c r="A151" s="5" t="s">
        <v>250</v>
      </c>
    </row>
    <row r="152" spans="1:1" ht="30" customHeight="1" x14ac:dyDescent="0.25">
      <c r="A152" s="5" t="s">
        <v>248</v>
      </c>
    </row>
    <row r="153" spans="1:1" ht="30" customHeight="1" x14ac:dyDescent="0.25">
      <c r="A153" s="5" t="s">
        <v>247</v>
      </c>
    </row>
    <row r="154" spans="1:1" ht="30" customHeight="1" x14ac:dyDescent="0.25">
      <c r="A154" s="5" t="s">
        <v>246</v>
      </c>
    </row>
    <row r="155" spans="1:1" ht="30" customHeight="1" x14ac:dyDescent="0.25">
      <c r="A155" s="5" t="s">
        <v>245</v>
      </c>
    </row>
    <row r="156" spans="1:1" ht="30" customHeight="1" x14ac:dyDescent="0.25">
      <c r="A156" s="5" t="s">
        <v>243</v>
      </c>
    </row>
    <row r="157" spans="1:1" ht="30" customHeight="1" x14ac:dyDescent="0.25">
      <c r="A157" s="5" t="s">
        <v>228</v>
      </c>
    </row>
    <row r="158" spans="1:1" ht="30" customHeight="1" x14ac:dyDescent="0.25">
      <c r="A158" s="5" t="s">
        <v>242</v>
      </c>
    </row>
    <row r="159" spans="1:1" ht="30" customHeight="1" x14ac:dyDescent="0.25">
      <c r="A159" s="5" t="s">
        <v>193</v>
      </c>
    </row>
    <row r="160" spans="1:1" ht="30" customHeight="1" x14ac:dyDescent="0.25">
      <c r="A160" s="5" t="s">
        <v>151</v>
      </c>
    </row>
    <row r="161" spans="1:1" ht="30" customHeight="1" x14ac:dyDescent="0.25">
      <c r="A161" s="5" t="s">
        <v>240</v>
      </c>
    </row>
    <row r="162" spans="1:1" ht="30" customHeight="1" x14ac:dyDescent="0.25">
      <c r="A162" s="5" t="s">
        <v>239</v>
      </c>
    </row>
    <row r="163" spans="1:1" ht="30" customHeight="1" x14ac:dyDescent="0.25">
      <c r="A163" s="5" t="s">
        <v>194</v>
      </c>
    </row>
    <row r="164" spans="1:1" ht="30" customHeight="1" x14ac:dyDescent="0.25">
      <c r="A164" s="5" t="s">
        <v>195</v>
      </c>
    </row>
    <row r="165" spans="1:1" ht="30" customHeight="1" x14ac:dyDescent="0.25">
      <c r="A165" s="5" t="s">
        <v>196</v>
      </c>
    </row>
    <row r="166" spans="1:1" ht="30" customHeight="1" x14ac:dyDescent="0.25">
      <c r="A166" s="5" t="s">
        <v>231</v>
      </c>
    </row>
    <row r="167" spans="1:1" ht="30" customHeight="1" x14ac:dyDescent="0.25">
      <c r="A167" s="5" t="s">
        <v>229</v>
      </c>
    </row>
    <row r="168" spans="1:1" ht="30" customHeight="1" x14ac:dyDescent="0.25">
      <c r="A168" s="5" t="s">
        <v>230</v>
      </c>
    </row>
    <row r="169" spans="1:1" ht="30" customHeight="1" x14ac:dyDescent="0.25">
      <c r="A169" s="5" t="s">
        <v>226</v>
      </c>
    </row>
    <row r="170" spans="1:1" ht="30" customHeight="1" x14ac:dyDescent="0.25">
      <c r="A170" s="5" t="s">
        <v>227</v>
      </c>
    </row>
    <row r="171" spans="1:1" ht="30" customHeight="1" x14ac:dyDescent="0.25">
      <c r="A171" s="5" t="s">
        <v>197</v>
      </c>
    </row>
    <row r="172" spans="1:1" ht="30" customHeight="1" x14ac:dyDescent="0.25">
      <c r="A172" s="5" t="s">
        <v>204</v>
      </c>
    </row>
    <row r="173" spans="1:1" ht="30" customHeight="1" x14ac:dyDescent="0.25">
      <c r="A173" s="5" t="s">
        <v>224</v>
      </c>
    </row>
    <row r="174" spans="1:1" ht="30" customHeight="1" x14ac:dyDescent="0.25">
      <c r="A174" s="5" t="s">
        <v>223</v>
      </c>
    </row>
    <row r="175" spans="1:1" ht="30" customHeight="1" x14ac:dyDescent="0.25">
      <c r="A175" s="5" t="s">
        <v>217</v>
      </c>
    </row>
    <row r="176" spans="1:1" ht="30" customHeight="1" x14ac:dyDescent="0.25">
      <c r="A176" s="5" t="s">
        <v>199</v>
      </c>
    </row>
    <row r="177" spans="1:1" ht="30" customHeight="1" x14ac:dyDescent="0.25">
      <c r="A177" s="5" t="s">
        <v>200</v>
      </c>
    </row>
    <row r="178" spans="1:1" ht="30" customHeight="1" x14ac:dyDescent="0.25">
      <c r="A178" s="5" t="s">
        <v>201</v>
      </c>
    </row>
    <row r="179" spans="1:1" ht="30" customHeight="1" x14ac:dyDescent="0.25">
      <c r="A179" s="5" t="s">
        <v>202</v>
      </c>
    </row>
    <row r="180" spans="1:1" ht="30" customHeight="1" x14ac:dyDescent="0.25">
      <c r="A180" s="5" t="s">
        <v>222</v>
      </c>
    </row>
    <row r="181" spans="1:1" ht="30" customHeight="1" x14ac:dyDescent="0.25">
      <c r="A181" s="5" t="s">
        <v>221</v>
      </c>
    </row>
    <row r="182" spans="1:1" ht="30" customHeight="1" x14ac:dyDescent="0.25">
      <c r="A182" s="5" t="s">
        <v>220</v>
      </c>
    </row>
    <row r="183" spans="1:1" ht="30" customHeight="1" x14ac:dyDescent="0.25">
      <c r="A183" s="5" t="s">
        <v>219</v>
      </c>
    </row>
    <row r="184" spans="1:1" ht="30" customHeight="1" x14ac:dyDescent="0.25">
      <c r="A184" s="5" t="s">
        <v>218</v>
      </c>
    </row>
    <row r="185" spans="1:1" ht="30" customHeight="1" x14ac:dyDescent="0.25">
      <c r="A185" s="5" t="s">
        <v>216</v>
      </c>
    </row>
    <row r="186" spans="1:1" ht="30" customHeight="1" x14ac:dyDescent="0.25">
      <c r="A186" s="5" t="s">
        <v>215</v>
      </c>
    </row>
    <row r="187" spans="1:1" ht="30" customHeight="1" x14ac:dyDescent="0.25">
      <c r="A187" s="5" t="s">
        <v>214</v>
      </c>
    </row>
    <row r="188" spans="1:1" ht="30" customHeight="1" x14ac:dyDescent="0.25">
      <c r="A188" s="5" t="s">
        <v>203</v>
      </c>
    </row>
    <row r="189" spans="1:1" ht="30" customHeight="1" x14ac:dyDescent="0.25">
      <c r="A189" s="5" t="s">
        <v>205</v>
      </c>
    </row>
    <row r="190" spans="1:1" ht="30" customHeight="1" x14ac:dyDescent="0.25">
      <c r="A190" s="5" t="s">
        <v>206</v>
      </c>
    </row>
    <row r="191" spans="1:1" ht="30" customHeight="1" x14ac:dyDescent="0.25">
      <c r="A191" s="5" t="s">
        <v>213</v>
      </c>
    </row>
    <row r="192" spans="1:1" ht="30" customHeight="1" x14ac:dyDescent="0.25">
      <c r="A192" s="5" t="s">
        <v>212</v>
      </c>
    </row>
    <row r="193" spans="1:1" ht="30" customHeight="1" x14ac:dyDescent="0.25">
      <c r="A193" s="5" t="s">
        <v>77</v>
      </c>
    </row>
    <row r="194" spans="1:1" ht="30" customHeight="1" x14ac:dyDescent="0.25">
      <c r="A194" s="5" t="s">
        <v>211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G10" sqref="G10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</v>
      </c>
      <c r="E5" s="30"/>
      <c r="F5" s="30">
        <v>0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</v>
      </c>
      <c r="E5" s="30"/>
      <c r="F5" s="30">
        <v>0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0.17</v>
      </c>
      <c r="C3" s="30">
        <v>0.17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0.15</v>
      </c>
      <c r="C3" s="30">
        <v>0.15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0.2</v>
      </c>
      <c r="C3" s="30">
        <v>1.5</v>
      </c>
      <c r="D3" s="30">
        <v>0.1</v>
      </c>
      <c r="E3" s="30" t="s">
        <v>34</v>
      </c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0.1</v>
      </c>
      <c r="C3" s="30">
        <v>100000</v>
      </c>
      <c r="D3" s="1">
        <v>0.01</v>
      </c>
      <c r="E3" s="30" t="s">
        <v>34</v>
      </c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0.08</v>
      </c>
      <c r="C3" s="30">
        <v>0.08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0.08</v>
      </c>
      <c r="C3" s="30">
        <v>0.08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J15" sqref="J15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0.17</v>
      </c>
      <c r="C3" s="30">
        <v>0.17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17" sqref="G17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</v>
      </c>
      <c r="C3" s="30">
        <v>100000</v>
      </c>
      <c r="D3" s="1">
        <v>1</v>
      </c>
      <c r="E3" s="1" t="s">
        <v>20</v>
      </c>
      <c r="F3" s="1">
        <v>1</v>
      </c>
      <c r="G3" s="1" t="s">
        <v>46</v>
      </c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8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8" customFormat="1" ht="30" customHeight="1" x14ac:dyDescent="0.25">
      <c r="A1" s="133" t="s">
        <v>295</v>
      </c>
      <c r="B1" s="133" t="s">
        <v>296</v>
      </c>
      <c r="C1" s="134"/>
      <c r="D1" s="133" t="s">
        <v>297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9" customFormat="1" ht="30" customHeight="1" x14ac:dyDescent="0.25">
      <c r="A2" s="133"/>
      <c r="B2" s="27" t="s">
        <v>298</v>
      </c>
      <c r="C2" s="27" t="s">
        <v>299</v>
      </c>
      <c r="D2" s="27" t="s">
        <v>39</v>
      </c>
      <c r="E2" s="27" t="s">
        <v>30</v>
      </c>
      <c r="F2" s="27" t="s">
        <v>39</v>
      </c>
      <c r="G2" s="27" t="s">
        <v>31</v>
      </c>
      <c r="H2" s="27" t="s">
        <v>39</v>
      </c>
      <c r="I2" s="27" t="s">
        <v>32</v>
      </c>
      <c r="J2" s="27" t="s">
        <v>39</v>
      </c>
      <c r="K2" s="27" t="s">
        <v>33</v>
      </c>
      <c r="L2" s="27" t="s">
        <v>39</v>
      </c>
      <c r="M2" s="27" t="s">
        <v>40</v>
      </c>
      <c r="N2" s="27" t="s">
        <v>39</v>
      </c>
      <c r="O2" s="27" t="s">
        <v>41</v>
      </c>
      <c r="P2" s="27" t="s">
        <v>39</v>
      </c>
      <c r="Q2" s="27" t="s">
        <v>42</v>
      </c>
      <c r="R2" s="27" t="s">
        <v>39</v>
      </c>
      <c r="S2" s="27" t="s">
        <v>43</v>
      </c>
      <c r="T2" s="27" t="s">
        <v>39</v>
      </c>
      <c r="U2" s="27" t="s">
        <v>44</v>
      </c>
      <c r="V2" s="27" t="s">
        <v>39</v>
      </c>
      <c r="W2" s="27" t="s">
        <v>45</v>
      </c>
    </row>
    <row r="3" spans="1:23" ht="45" customHeight="1" x14ac:dyDescent="0.25">
      <c r="A3" s="27" t="s">
        <v>10</v>
      </c>
      <c r="B3" s="30">
        <v>0.17</v>
      </c>
      <c r="C3" s="30">
        <v>0.17</v>
      </c>
      <c r="D3" s="1"/>
      <c r="E3" s="1"/>
      <c r="F3" s="1"/>
      <c r="G3" s="1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45" customHeight="1" x14ac:dyDescent="0.25">
      <c r="A4" s="27" t="s">
        <v>9</v>
      </c>
      <c r="B4" s="30">
        <v>0</v>
      </c>
      <c r="C4" s="30">
        <v>100000</v>
      </c>
      <c r="D4" s="30">
        <v>0.75</v>
      </c>
      <c r="E4" s="30" t="s">
        <v>11</v>
      </c>
      <c r="F4" s="30">
        <v>0.75</v>
      </c>
      <c r="G4" s="30" t="s">
        <v>300</v>
      </c>
      <c r="H4" s="30">
        <v>0.75</v>
      </c>
      <c r="I4" s="30" t="s">
        <v>38</v>
      </c>
      <c r="J4" s="30">
        <v>0.75</v>
      </c>
      <c r="K4" s="30" t="s">
        <v>301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45" customHeight="1" x14ac:dyDescent="0.25">
      <c r="A5" s="27" t="s">
        <v>11</v>
      </c>
      <c r="B5" s="30">
        <v>0</v>
      </c>
      <c r="C5" s="30">
        <v>100000</v>
      </c>
      <c r="D5" s="30">
        <v>0.85</v>
      </c>
      <c r="E5" s="30" t="s">
        <v>11</v>
      </c>
      <c r="F5" s="30">
        <v>0.85</v>
      </c>
      <c r="G5" s="30" t="s">
        <v>300</v>
      </c>
      <c r="H5" s="30">
        <v>0.85</v>
      </c>
      <c r="I5" s="30" t="s">
        <v>38</v>
      </c>
      <c r="J5" s="30">
        <v>0.85</v>
      </c>
      <c r="K5" s="30" t="s">
        <v>301</v>
      </c>
      <c r="L5" s="30">
        <v>0.85</v>
      </c>
      <c r="M5" s="30" t="s">
        <v>47</v>
      </c>
      <c r="N5" s="30">
        <v>0.85</v>
      </c>
      <c r="O5" s="30" t="s">
        <v>49</v>
      </c>
      <c r="P5" s="30">
        <v>0.85</v>
      </c>
      <c r="Q5" s="30" t="s">
        <v>50</v>
      </c>
      <c r="R5" s="30"/>
      <c r="S5" s="30"/>
      <c r="T5" s="30"/>
      <c r="U5" s="30"/>
      <c r="V5" s="30"/>
      <c r="W5" s="30"/>
    </row>
    <row r="6" spans="1:23" ht="45" customHeight="1" x14ac:dyDescent="0.25">
      <c r="A6" s="27" t="s">
        <v>285</v>
      </c>
      <c r="B6" s="30">
        <v>0</v>
      </c>
      <c r="C6" s="30">
        <v>100000</v>
      </c>
      <c r="D6" s="30">
        <v>0.75</v>
      </c>
      <c r="E6" s="30" t="s">
        <v>34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45" customHeight="1" x14ac:dyDescent="0.25">
      <c r="A7" s="27" t="s">
        <v>286</v>
      </c>
      <c r="B7" s="30">
        <v>0</v>
      </c>
      <c r="C7" s="30">
        <v>100000</v>
      </c>
      <c r="D7" s="30">
        <v>0.75</v>
      </c>
      <c r="E7" s="30" t="s">
        <v>34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45" customHeight="1" x14ac:dyDescent="0.25">
      <c r="A8" s="27" t="s">
        <v>13</v>
      </c>
      <c r="B8" s="30">
        <v>0</v>
      </c>
      <c r="C8" s="30">
        <v>100000</v>
      </c>
      <c r="D8" s="30">
        <v>1</v>
      </c>
      <c r="E8" s="30" t="s">
        <v>35</v>
      </c>
      <c r="F8" s="30">
        <v>1</v>
      </c>
      <c r="G8" s="30" t="s">
        <v>48</v>
      </c>
      <c r="H8" s="30">
        <v>1</v>
      </c>
      <c r="I8" s="30" t="s">
        <v>51</v>
      </c>
      <c r="J8" s="30">
        <v>1</v>
      </c>
      <c r="K8" s="30" t="s">
        <v>53</v>
      </c>
      <c r="L8" s="30">
        <v>1</v>
      </c>
      <c r="M8" s="30" t="s">
        <v>52</v>
      </c>
      <c r="N8" s="30">
        <v>1</v>
      </c>
      <c r="O8" s="30" t="s">
        <v>36</v>
      </c>
      <c r="P8" s="30">
        <v>1</v>
      </c>
      <c r="Q8" s="30" t="s">
        <v>54</v>
      </c>
      <c r="R8" s="30"/>
      <c r="S8" s="30"/>
      <c r="T8" s="30"/>
      <c r="U8" s="30"/>
      <c r="V8" s="30"/>
      <c r="W8" s="30"/>
    </row>
    <row r="9" spans="1:23" ht="45" customHeight="1" x14ac:dyDescent="0.25">
      <c r="A9" s="27" t="s">
        <v>14</v>
      </c>
      <c r="B9" s="30">
        <v>0</v>
      </c>
      <c r="C9" s="30">
        <v>100000</v>
      </c>
      <c r="D9" s="30">
        <v>1</v>
      </c>
      <c r="E9" s="30" t="s">
        <v>34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Типы</vt:lpstr>
      <vt:lpstr>НТД</vt:lpstr>
      <vt:lpstr>Расчет</vt:lpstr>
      <vt:lpstr>ПКИ (не используется)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2024-07-09T12:08:33Z</dcterms:modified>
</cp:coreProperties>
</file>